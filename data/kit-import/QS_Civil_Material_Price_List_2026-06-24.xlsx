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16D2C14-E71C-4B23-ABD6-E0C43D89AB1C}" xr6:coauthVersionLast="47" xr6:coauthVersionMax="47" xr10:uidLastSave="{00000000-0000-0000-0000-000000000000}"/>
  <bookViews>
    <workbookView minimized="1" xWindow="5955" yWindow="960" windowWidth="12105" windowHeight="8730" firstSheet="4" activeTab="4" xr2:uid="{00000000-000D-0000-FFFF-FFFF00000000}"/>
  </bookViews>
  <sheets>
    <sheet name="Concrete materials" sheetId="5" r:id="rId1"/>
    <sheet name="Insurance" sheetId="30" r:id="rId2"/>
    <sheet name="Blockwork" sheetId="6" r:id="rId3"/>
    <sheet name="Built up labour rate" sheetId="27" r:id="rId4"/>
    <sheet name="Concrete rate" sheetId="28" r:id="rId5"/>
    <sheet name="Paint" sheetId="18" r:id="rId6"/>
    <sheet name="Anti-termite" sheetId="10" r:id="rId7"/>
    <sheet name="Formwork timber" sheetId="11" r:id="rId8"/>
    <sheet name="Pigmented lime plaster" sheetId="15" r:id="rId9"/>
    <sheet name="Natural stone (Pozzolana)" sheetId="16" r:id="rId10"/>
    <sheet name="Hardcore" sheetId="17" r:id="rId11"/>
    <sheet name="Formwork sheets" sheetId="12" r:id="rId12"/>
    <sheet name="BRC MESH" sheetId="13" r:id="rId13"/>
    <sheet name="Reinforcements" sheetId="14" r:id="rId14"/>
    <sheet name="Fascia board" sheetId="23" r:id="rId15"/>
    <sheet name="Mild steel plates" sheetId="22" r:id="rId16"/>
    <sheet name="Steel Hollow sections" sheetId="21" r:id="rId17"/>
    <sheet name="Stone plinth wall" sheetId="26" r:id="rId18"/>
    <sheet name="Excavator rates" sheetId="8" r:id="rId19"/>
    <sheet name="Plastering" sheetId="7" r:id="rId20"/>
    <sheet name="General rates" sheetId="9" r:id="rId21"/>
    <sheet name="Sheet1" sheetId="19" r:id="rId22"/>
    <sheet name="Rafters" sheetId="20" r:id="rId23"/>
    <sheet name="Iron sheets" sheetId="24" r:id="rId24"/>
    <sheet name="Finishes" sheetId="25" r:id="rId25"/>
  </sheets>
  <calcPr calcId="181029"/>
</workbook>
</file>

<file path=xl/calcChain.xml><?xml version="1.0" encoding="utf-8"?>
<calcChain xmlns="http://schemas.openxmlformats.org/spreadsheetml/2006/main">
  <c r="B16" i="6" l="1"/>
  <c r="B32" i="30"/>
  <c r="B8" i="21" l="1"/>
  <c r="B31" i="30" l="1"/>
  <c r="B18" i="30"/>
  <c r="B20" i="30" s="1"/>
  <c r="B25" i="30"/>
  <c r="B15" i="30"/>
  <c r="B8" i="30"/>
  <c r="B10" i="30" s="1"/>
  <c r="B45" i="6"/>
  <c r="B44" i="6"/>
  <c r="F9" i="28"/>
  <c r="F8" i="28"/>
  <c r="F7" i="28"/>
  <c r="B44" i="5"/>
  <c r="B43" i="5"/>
  <c r="B31" i="7"/>
  <c r="B30" i="7"/>
  <c r="B49" i="28"/>
  <c r="B28" i="30" l="1"/>
  <c r="B46" i="5"/>
  <c r="D53" i="5" s="1"/>
  <c r="E53" i="5" s="1"/>
  <c r="B43" i="28"/>
  <c r="B48" i="28"/>
  <c r="B51" i="28" s="1"/>
  <c r="G10" i="28" s="1"/>
  <c r="H10" i="28" s="1"/>
  <c r="B29" i="28"/>
  <c r="B27" i="28"/>
  <c r="B31" i="28" s="1"/>
  <c r="G9" i="28" s="1"/>
  <c r="H9" i="28" s="1"/>
  <c r="B19" i="28"/>
  <c r="B22" i="28" s="1"/>
  <c r="G8" i="28" s="1"/>
  <c r="H8" i="28" s="1"/>
  <c r="B11" i="28"/>
  <c r="B8" i="28"/>
  <c r="B13" i="28" s="1"/>
  <c r="G7" i="28" s="1"/>
  <c r="B20" i="27"/>
  <c r="B19" i="27"/>
  <c r="B25" i="27"/>
  <c r="F8" i="27"/>
  <c r="F7" i="27"/>
  <c r="F13" i="27"/>
  <c r="F14" i="27"/>
  <c r="F15" i="27" s="1"/>
  <c r="B15" i="27"/>
  <c r="B14" i="27"/>
  <c r="B13" i="27"/>
  <c r="B8" i="27"/>
  <c r="B7" i="27"/>
  <c r="B3" i="5"/>
  <c r="B21" i="5" s="1"/>
  <c r="B22" i="5" s="1"/>
  <c r="B23" i="5" s="1"/>
  <c r="I12" i="6"/>
  <c r="J12" i="6" s="1"/>
  <c r="I11" i="6"/>
  <c r="B21" i="6"/>
  <c r="B22" i="6" s="1"/>
  <c r="B23" i="6" s="1"/>
  <c r="B33" i="6"/>
  <c r="B34" i="6" s="1"/>
  <c r="B35" i="6" s="1"/>
  <c r="H11" i="6" s="1"/>
  <c r="B47" i="6"/>
  <c r="B39" i="6"/>
  <c r="B27" i="6"/>
  <c r="B28" i="6" s="1"/>
  <c r="I10" i="6" s="1"/>
  <c r="B14" i="6"/>
  <c r="I9" i="6" s="1"/>
  <c r="D9" i="6"/>
  <c r="C9" i="6"/>
  <c r="B9" i="6"/>
  <c r="B38" i="5"/>
  <c r="D52" i="5" s="1"/>
  <c r="B27" i="5"/>
  <c r="D51" i="5" s="1"/>
  <c r="B14" i="5"/>
  <c r="B16" i="5" s="1"/>
  <c r="B22" i="16"/>
  <c r="B13" i="15"/>
  <c r="C47" i="26"/>
  <c r="B13" i="26"/>
  <c r="B21" i="26"/>
  <c r="B24" i="26" s="1"/>
  <c r="B41" i="26"/>
  <c r="B32" i="26"/>
  <c r="B31" i="26"/>
  <c r="B30" i="26"/>
  <c r="B33" i="26" s="1"/>
  <c r="B23" i="26"/>
  <c r="B22" i="26"/>
  <c r="B11" i="26"/>
  <c r="B12" i="26" s="1"/>
  <c r="B8" i="16"/>
  <c r="B9" i="21"/>
  <c r="B29" i="6" l="1"/>
  <c r="H10" i="6"/>
  <c r="B30" i="30"/>
  <c r="B33" i="30"/>
  <c r="B35" i="30" s="1"/>
  <c r="B32" i="5"/>
  <c r="B33" i="5" s="1"/>
  <c r="B34" i="5" s="1"/>
  <c r="C52" i="5" s="1"/>
  <c r="E52" i="5" s="1"/>
  <c r="H7" i="28"/>
  <c r="H11" i="28" s="1"/>
  <c r="H12" i="28" s="1"/>
  <c r="B14" i="28"/>
  <c r="B8" i="5"/>
  <c r="B9" i="5" s="1"/>
  <c r="B10" i="5" s="1"/>
  <c r="C50" i="5" s="1"/>
  <c r="C51" i="5"/>
  <c r="E51" i="5" s="1"/>
  <c r="B33" i="28"/>
  <c r="B34" i="28" s="1"/>
  <c r="B35" i="28" s="1"/>
  <c r="B36" i="28" s="1"/>
  <c r="B26" i="27"/>
  <c r="B27" i="27" s="1"/>
  <c r="D50" i="5"/>
  <c r="B40" i="6"/>
  <c r="B10" i="6"/>
  <c r="H9" i="6" s="1"/>
  <c r="J9" i="6" s="1"/>
  <c r="B28" i="5"/>
  <c r="B14" i="26"/>
  <c r="B15" i="26" s="1"/>
  <c r="B43" i="26" s="1"/>
  <c r="B44" i="26" s="1"/>
  <c r="B45" i="26" s="1"/>
  <c r="B46" i="26" s="1"/>
  <c r="B39" i="5" l="1"/>
  <c r="J10" i="6"/>
  <c r="B17" i="5"/>
  <c r="B53" i="28"/>
  <c r="B54" i="28" s="1"/>
  <c r="B55" i="28" s="1"/>
  <c r="E50" i="5"/>
  <c r="J11" i="6"/>
  <c r="B17" i="6"/>
  <c r="B15" i="25"/>
  <c r="B17" i="25" s="1"/>
  <c r="B18" i="25" s="1"/>
  <c r="B19" i="25" s="1"/>
  <c r="B7" i="25"/>
  <c r="B6" i="25"/>
  <c r="B5" i="24"/>
  <c r="B13" i="24"/>
  <c r="B6" i="23"/>
  <c r="B14" i="23"/>
  <c r="B6" i="22"/>
  <c r="B14" i="22"/>
  <c r="B3" i="22"/>
  <c r="B21" i="20"/>
  <c r="B10" i="20"/>
  <c r="B8" i="20"/>
  <c r="B19" i="20"/>
  <c r="B21" i="14"/>
  <c r="E54" i="5" l="1"/>
  <c r="E55" i="5" s="1"/>
  <c r="J13" i="6"/>
  <c r="J14" i="6" s="1"/>
  <c r="B15" i="24"/>
  <c r="B16" i="24" s="1"/>
  <c r="B17" i="24" s="1"/>
  <c r="B18" i="24" s="1"/>
  <c r="B16" i="23"/>
  <c r="B17" i="23" s="1"/>
  <c r="B18" i="23" s="1"/>
  <c r="B16" i="22"/>
  <c r="B17" i="22" s="1"/>
  <c r="B18" i="22" s="1"/>
  <c r="B22" i="20"/>
  <c r="B23" i="20" s="1"/>
  <c r="B24" i="20" s="1"/>
  <c r="B17" i="21"/>
  <c r="B19" i="21" s="1"/>
  <c r="B20" i="21" s="1"/>
  <c r="B21" i="21" s="1"/>
  <c r="B22" i="21" s="1"/>
  <c r="B33" i="15" l="1"/>
  <c r="B22" i="15"/>
  <c r="B6" i="13"/>
  <c r="B8" i="13" s="1"/>
  <c r="B45" i="19" l="1"/>
  <c r="D45" i="19" s="1"/>
  <c r="B34" i="19"/>
  <c r="B32" i="19"/>
  <c r="B33" i="19" s="1"/>
  <c r="B22" i="19"/>
  <c r="B14" i="19"/>
  <c r="B35" i="19" s="1"/>
  <c r="B36" i="19" s="1"/>
  <c r="E36" i="19" s="1"/>
  <c r="B12" i="19"/>
  <c r="B13" i="19" s="1"/>
  <c r="B5" i="19"/>
  <c r="B23" i="19" s="1"/>
  <c r="B24" i="19" s="1"/>
  <c r="B25" i="19" s="1"/>
  <c r="B15" i="19" l="1"/>
  <c r="B16" i="19" s="1"/>
  <c r="E16" i="19" l="1"/>
  <c r="B47" i="19"/>
  <c r="B15" i="11"/>
  <c r="B7" i="11"/>
  <c r="B17" i="11" s="1"/>
  <c r="B18" i="11" s="1"/>
  <c r="B19" i="11" s="1"/>
  <c r="B20" i="11" s="1"/>
  <c r="B48" i="19" l="1"/>
  <c r="C47" i="19"/>
  <c r="B1" i="18"/>
  <c r="B3" i="18" s="1"/>
  <c r="C9" i="17"/>
  <c r="B10" i="16"/>
  <c r="B11" i="16" s="1"/>
  <c r="B43" i="16" s="1"/>
  <c r="B26" i="17"/>
  <c r="B14" i="17"/>
  <c r="B15" i="17" s="1"/>
  <c r="B6" i="17"/>
  <c r="B17" i="17"/>
  <c r="B18" i="17" s="1"/>
  <c r="B14" i="16"/>
  <c r="B9" i="16"/>
  <c r="B41" i="16"/>
  <c r="B30" i="16"/>
  <c r="B20" i="16"/>
  <c r="B21" i="16" s="1"/>
  <c r="B2" i="16"/>
  <c r="B31" i="15"/>
  <c r="B32" i="15" s="1"/>
  <c r="B11" i="15"/>
  <c r="B12" i="15" s="1"/>
  <c r="B21" i="15"/>
  <c r="B44" i="15"/>
  <c r="D44" i="15" s="1"/>
  <c r="B7" i="14"/>
  <c r="B16" i="14"/>
  <c r="B8" i="14"/>
  <c r="B16" i="13"/>
  <c r="B18" i="13"/>
  <c r="B7" i="12"/>
  <c r="B6" i="12"/>
  <c r="B15" i="12"/>
  <c r="B19" i="13" l="1"/>
  <c r="B20" i="13" s="1"/>
  <c r="B21" i="13" s="1"/>
  <c r="C48" i="19"/>
  <c r="B49" i="19"/>
  <c r="B8" i="17"/>
  <c r="B9" i="17" s="1"/>
  <c r="B14" i="15"/>
  <c r="B15" i="15" s="1"/>
  <c r="B34" i="15"/>
  <c r="B35" i="15" s="1"/>
  <c r="E35" i="15" s="1"/>
  <c r="B23" i="15"/>
  <c r="B24" i="15" s="1"/>
  <c r="B18" i="14"/>
  <c r="B19" i="14" s="1"/>
  <c r="B20" i="14" s="1"/>
  <c r="B17" i="12"/>
  <c r="B18" i="12" s="1"/>
  <c r="B19" i="12" s="1"/>
  <c r="B20" i="12" s="1"/>
  <c r="B5" i="10"/>
  <c r="B7" i="10" s="1"/>
  <c r="B8" i="10" s="1"/>
  <c r="B15" i="7"/>
  <c r="B46" i="15" l="1"/>
  <c r="B47" i="15" s="1"/>
  <c r="B50" i="19"/>
  <c r="C50" i="19" s="1"/>
  <c r="D50" i="19" s="1"/>
  <c r="C49" i="19"/>
  <c r="C28" i="17"/>
  <c r="C29" i="17" s="1"/>
  <c r="C30" i="17" s="1"/>
  <c r="C31" i="17" s="1"/>
  <c r="B29" i="17"/>
  <c r="B15" i="16"/>
  <c r="E15" i="15"/>
  <c r="C46" i="15" l="1"/>
  <c r="B30" i="17"/>
  <c r="B31" i="16"/>
  <c r="B32" i="16" s="1"/>
  <c r="B33" i="16" s="1"/>
  <c r="B23" i="16"/>
  <c r="B24" i="16" s="1"/>
  <c r="C47" i="15"/>
  <c r="B48" i="15"/>
  <c r="B31" i="17" l="1"/>
  <c r="B49" i="15"/>
  <c r="C49" i="15" s="1"/>
  <c r="D49" i="15" s="1"/>
  <c r="C48" i="15"/>
  <c r="B44" i="16" l="1"/>
  <c r="B45" i="16" s="1"/>
  <c r="B46" i="16" s="1"/>
  <c r="D46" i="16" s="1"/>
  <c r="C43" i="16"/>
  <c r="C44" i="16" s="1"/>
  <c r="C45" i="16" s="1"/>
  <c r="C46" i="16" s="1"/>
  <c r="B3" i="9"/>
  <c r="B5" i="9" s="1"/>
  <c r="B27" i="7"/>
  <c r="B13" i="9"/>
  <c r="B15" i="9" l="1"/>
  <c r="B16" i="9" s="1"/>
  <c r="B17" i="9" s="1"/>
  <c r="B18" i="9" s="1"/>
  <c r="B19" i="9" s="1"/>
  <c r="B6" i="8" l="1"/>
  <c r="B9" i="8" s="1"/>
  <c r="B18" i="8" s="1"/>
  <c r="B9" i="7"/>
  <c r="B39" i="7"/>
  <c r="B16" i="7"/>
  <c r="B6" i="7"/>
  <c r="B19" i="8" l="1"/>
  <c r="B21" i="8"/>
  <c r="B20" i="8"/>
  <c r="B23" i="8"/>
  <c r="B24" i="8" s="1"/>
  <c r="B10" i="7" l="1"/>
  <c r="B17" i="7" l="1"/>
  <c r="B18" i="7" s="1"/>
  <c r="B19" i="7" s="1"/>
  <c r="B20" i="7" s="1"/>
  <c r="B21" i="7" s="1"/>
  <c r="B28" i="7"/>
  <c r="B29" i="7" s="1"/>
  <c r="B41" i="7" l="1"/>
  <c r="B42" i="7" s="1"/>
  <c r="B43" i="7" s="1"/>
  <c r="B44" i="7" s="1"/>
</calcChain>
</file>

<file path=xl/sharedStrings.xml><?xml version="1.0" encoding="utf-8"?>
<sst xmlns="http://schemas.openxmlformats.org/spreadsheetml/2006/main" count="748" uniqueCount="320">
  <si>
    <t>Concrete</t>
    <phoneticPr fontId="2"/>
  </si>
  <si>
    <t>Mortar mix</t>
    <phoneticPr fontId="2"/>
  </si>
  <si>
    <t>Plastering</t>
    <phoneticPr fontId="2"/>
  </si>
  <si>
    <t>Unit</t>
    <phoneticPr fontId="2"/>
  </si>
  <si>
    <t>Labour Analysis</t>
    <phoneticPr fontId="2"/>
  </si>
  <si>
    <t>Labourer</t>
    <phoneticPr fontId="2"/>
  </si>
  <si>
    <t>Add Plant/tools 3%</t>
    <phoneticPr fontId="2"/>
  </si>
  <si>
    <t>Add material wastage 10%</t>
    <phoneticPr fontId="2"/>
  </si>
  <si>
    <t>Add VAT 18%</t>
    <phoneticPr fontId="2"/>
  </si>
  <si>
    <t>m2</t>
    <phoneticPr fontId="2"/>
  </si>
  <si>
    <t>size of bucket</t>
    <phoneticPr fontId="2"/>
  </si>
  <si>
    <t>Cycles</t>
    <phoneticPr fontId="2"/>
  </si>
  <si>
    <t>Buckling factor</t>
    <phoneticPr fontId="2"/>
  </si>
  <si>
    <t>Efficiency</t>
    <phoneticPr fontId="2"/>
  </si>
  <si>
    <t>Excavator earthwork rate</t>
    <phoneticPr fontId="2"/>
  </si>
  <si>
    <t>number of bucket</t>
    <phoneticPr fontId="2"/>
  </si>
  <si>
    <t>cubic meters per day</t>
    <phoneticPr fontId="2"/>
  </si>
  <si>
    <t>Fuel</t>
    <phoneticPr fontId="2"/>
  </si>
  <si>
    <t xml:space="preserve">Operator </t>
    <phoneticPr fontId="2"/>
  </si>
  <si>
    <t>Excavator</t>
    <phoneticPr fontId="2"/>
  </si>
  <si>
    <t>cost per m3</t>
    <phoneticPr fontId="2"/>
  </si>
  <si>
    <t>Items</t>
    <phoneticPr fontId="2"/>
  </si>
  <si>
    <t>Calculations</t>
    <phoneticPr fontId="2"/>
  </si>
  <si>
    <t>Total cost per m3</t>
    <phoneticPr fontId="2"/>
  </si>
  <si>
    <t>Add profit 20%</t>
    <phoneticPr fontId="2"/>
  </si>
  <si>
    <t>Mix</t>
    <phoneticPr fontId="2"/>
  </si>
  <si>
    <t>Quantity</t>
    <phoneticPr fontId="2"/>
  </si>
  <si>
    <t>Quantity after bulking</t>
    <phoneticPr fontId="2"/>
  </si>
  <si>
    <t>Transport</t>
    <phoneticPr fontId="2"/>
  </si>
  <si>
    <t>Quantity carried (bags)</t>
    <phoneticPr fontId="2"/>
  </si>
  <si>
    <t>considered for an elf 2.5tonnes</t>
    <phoneticPr fontId="2"/>
  </si>
  <si>
    <t>Transport per bag</t>
    <phoneticPr fontId="2"/>
  </si>
  <si>
    <t>Total Cost of 1 bag of cement</t>
    <phoneticPr fontId="2"/>
  </si>
  <si>
    <t>Total quantity required (m3)</t>
    <phoneticPr fontId="2"/>
  </si>
  <si>
    <t>Total bags required</t>
    <phoneticPr fontId="2"/>
  </si>
  <si>
    <t>Density of cement</t>
    <phoneticPr fontId="2"/>
  </si>
  <si>
    <t>Cement cost build up</t>
    <phoneticPr fontId="2"/>
  </si>
  <si>
    <t>Total Cost of bags required</t>
    <phoneticPr fontId="2"/>
  </si>
  <si>
    <t xml:space="preserve">Sand cost build up </t>
    <phoneticPr fontId="2"/>
  </si>
  <si>
    <t>Cement bag cost</t>
    <phoneticPr fontId="2"/>
  </si>
  <si>
    <t>Cost of sand</t>
    <phoneticPr fontId="2"/>
  </si>
  <si>
    <t>considered an elf 2.5tonnes</t>
    <phoneticPr fontId="2"/>
  </si>
  <si>
    <t>Density of Sand</t>
    <phoneticPr fontId="2"/>
  </si>
  <si>
    <t>Total quantity required (tonnes)</t>
    <phoneticPr fontId="2"/>
  </si>
  <si>
    <t>Quantity carried (tonnes)</t>
    <phoneticPr fontId="2"/>
  </si>
  <si>
    <t>Total cost of a ton of Sand</t>
    <phoneticPr fontId="2"/>
  </si>
  <si>
    <t>Total cost of sand required</t>
    <phoneticPr fontId="2"/>
  </si>
  <si>
    <t>Density of aggregates</t>
    <phoneticPr fontId="2"/>
  </si>
  <si>
    <t>Manson wage</t>
    <phoneticPr fontId="2"/>
  </si>
  <si>
    <t xml:space="preserve">labourer wage </t>
    <phoneticPr fontId="2"/>
  </si>
  <si>
    <t>Labourers required</t>
    <phoneticPr fontId="2"/>
  </si>
  <si>
    <t>Mansons required</t>
    <phoneticPr fontId="2"/>
  </si>
  <si>
    <t>total labour per m3</t>
    <phoneticPr fontId="2"/>
  </si>
  <si>
    <t>Output per day (m3)</t>
    <phoneticPr fontId="2"/>
  </si>
  <si>
    <t>Area to be covered</t>
    <phoneticPr fontId="2"/>
  </si>
  <si>
    <t>total mix</t>
    <phoneticPr fontId="2"/>
  </si>
  <si>
    <t>Mortar quantity</t>
    <phoneticPr fontId="2"/>
  </si>
  <si>
    <t>Mortar quantity after bulking</t>
    <phoneticPr fontId="2"/>
  </si>
  <si>
    <t>Plaster thickness</t>
    <phoneticPr fontId="2"/>
  </si>
  <si>
    <t>Plaster quantity</t>
    <phoneticPr fontId="2"/>
  </si>
  <si>
    <t>Plaster quantity after bulking</t>
    <phoneticPr fontId="2"/>
  </si>
  <si>
    <t>Profit 15%</t>
    <phoneticPr fontId="2"/>
  </si>
  <si>
    <t>Working hours</t>
    <phoneticPr fontId="2"/>
  </si>
  <si>
    <t>Work rate (per minute)</t>
    <phoneticPr fontId="2"/>
  </si>
  <si>
    <t>excavator hire price (day)</t>
    <phoneticPr fontId="2"/>
  </si>
  <si>
    <t>Fuel (litre)</t>
    <phoneticPr fontId="2"/>
  </si>
  <si>
    <t>Operator (day)</t>
    <phoneticPr fontId="2"/>
  </si>
  <si>
    <t>Labourer (day)</t>
    <phoneticPr fontId="2"/>
  </si>
  <si>
    <t>Fuel consumption (litres)</t>
    <phoneticPr fontId="2"/>
  </si>
  <si>
    <t>productivity of excavator</t>
    <phoneticPr fontId="2"/>
  </si>
  <si>
    <t xml:space="preserve">Total cost </t>
    <phoneticPr fontId="2"/>
  </si>
  <si>
    <t>Item price</t>
    <phoneticPr fontId="2"/>
  </si>
  <si>
    <t>Transport and delivery</t>
    <phoneticPr fontId="2"/>
  </si>
  <si>
    <t>Total cost of item</t>
    <phoneticPr fontId="2"/>
  </si>
  <si>
    <t>Transport for cement</t>
    <phoneticPr fontId="2"/>
  </si>
  <si>
    <t>Cost of sand (traansport inclusive)</t>
    <phoneticPr fontId="2"/>
  </si>
  <si>
    <t>Total cost per square meter</t>
    <phoneticPr fontId="2"/>
  </si>
  <si>
    <t>Size</t>
    <phoneticPr fontId="2"/>
  </si>
  <si>
    <t>Total cost of aggregates required</t>
    <phoneticPr fontId="2"/>
  </si>
  <si>
    <t>Total cost of a ton of aggregates</t>
    <phoneticPr fontId="2"/>
  </si>
  <si>
    <t>Litres of mixed solution per square meter</t>
    <phoneticPr fontId="2"/>
  </si>
  <si>
    <t>Cost per square meter</t>
    <phoneticPr fontId="2"/>
  </si>
  <si>
    <t>Total cost</t>
    <phoneticPr fontId="2"/>
  </si>
  <si>
    <t>Target concentration (g/L)</t>
    <phoneticPr fontId="2"/>
  </si>
  <si>
    <t>Concentration of product (g/L)</t>
    <phoneticPr fontId="2"/>
  </si>
  <si>
    <t>considered an forward  2 tonnes</t>
    <phoneticPr fontId="2"/>
  </si>
  <si>
    <t>considered an elf 2 tonnes</t>
    <phoneticPr fontId="2"/>
  </si>
  <si>
    <t>grams per litre</t>
    <phoneticPr fontId="2"/>
  </si>
  <si>
    <t>Termidor quantity (ml)</t>
    <phoneticPr fontId="2"/>
  </si>
  <si>
    <t xml:space="preserve">Termidor price </t>
    <phoneticPr fontId="2"/>
  </si>
  <si>
    <t>ml per square meter</t>
    <phoneticPr fontId="2"/>
  </si>
  <si>
    <t>Litres of concentrate per liter of solution</t>
    <phoneticPr fontId="2"/>
  </si>
  <si>
    <t>ml per litre</t>
    <phoneticPr fontId="2"/>
  </si>
  <si>
    <t>4mm</t>
    <phoneticPr fontId="2"/>
  </si>
  <si>
    <t>m</t>
    <phoneticPr fontId="2"/>
  </si>
  <si>
    <t>Timber cost</t>
    <phoneticPr fontId="2"/>
  </si>
  <si>
    <t>Timber size (m )</t>
    <phoneticPr fontId="2"/>
  </si>
  <si>
    <t>18mm</t>
    <phoneticPr fontId="2"/>
  </si>
  <si>
    <t>G-10</t>
    <phoneticPr fontId="2"/>
  </si>
  <si>
    <t>kgs</t>
    <phoneticPr fontId="2"/>
  </si>
  <si>
    <t>mm</t>
    <phoneticPr fontId="2"/>
  </si>
  <si>
    <t>rc cost</t>
    <phoneticPr fontId="2"/>
  </si>
  <si>
    <t>rc kgs</t>
    <phoneticPr fontId="2"/>
  </si>
  <si>
    <t>Output per day (kg)</t>
    <phoneticPr fontId="2"/>
  </si>
  <si>
    <t>total labour per kg</t>
    <phoneticPr fontId="2"/>
  </si>
  <si>
    <t>Total cost per kg</t>
    <phoneticPr fontId="2"/>
  </si>
  <si>
    <t>Total quantity required (m2)</t>
    <phoneticPr fontId="2"/>
  </si>
  <si>
    <t xml:space="preserve">Lime cost build up </t>
    <phoneticPr fontId="2"/>
  </si>
  <si>
    <t>Lime bag cost</t>
    <phoneticPr fontId="2"/>
  </si>
  <si>
    <t>Pozzolana</t>
    <phoneticPr fontId="2"/>
  </si>
  <si>
    <t>cost</t>
    <phoneticPr fontId="2"/>
  </si>
  <si>
    <t>Tonnes carried</t>
    <phoneticPr fontId="2"/>
  </si>
  <si>
    <t>Cost per ton</t>
    <phoneticPr fontId="2"/>
  </si>
  <si>
    <t>Volume of stones (m3)</t>
    <phoneticPr fontId="2"/>
  </si>
  <si>
    <t>density</t>
    <phoneticPr fontId="2"/>
  </si>
  <si>
    <t>Volume of stones tons</t>
    <phoneticPr fontId="2"/>
  </si>
  <si>
    <t>Total cost of stones</t>
    <phoneticPr fontId="2"/>
  </si>
  <si>
    <t>Output per day (m2)</t>
    <phoneticPr fontId="2"/>
  </si>
  <si>
    <t>total labour per m2</t>
    <phoneticPr fontId="2"/>
  </si>
  <si>
    <t xml:space="preserve">hardcore cost build up </t>
    <phoneticPr fontId="2"/>
  </si>
  <si>
    <t>coverage per litre (square meters)</t>
    <phoneticPr fontId="2"/>
  </si>
  <si>
    <t>Coverage per square meter</t>
    <phoneticPr fontId="2"/>
  </si>
  <si>
    <t>Labour per square meter</t>
    <phoneticPr fontId="2"/>
  </si>
  <si>
    <t>Cost of 1 litre for 3 coats</t>
    <phoneticPr fontId="2"/>
  </si>
  <si>
    <t>Timber size (m2 )</t>
    <phoneticPr fontId="2"/>
  </si>
  <si>
    <t>Cost of hadcore (transport inclusive)</t>
    <phoneticPr fontId="2"/>
  </si>
  <si>
    <t>Loading and offloading</t>
    <phoneticPr fontId="2"/>
  </si>
  <si>
    <t>Profit 20%</t>
    <phoneticPr fontId="2"/>
  </si>
  <si>
    <t>brc size(m )</t>
    <phoneticPr fontId="2"/>
  </si>
  <si>
    <t>Transport per square meter</t>
    <phoneticPr fontId="2"/>
  </si>
  <si>
    <t>Transport costs</t>
    <phoneticPr fontId="2"/>
  </si>
  <si>
    <t>length</t>
    <phoneticPr fontId="2"/>
  </si>
  <si>
    <t>Type</t>
    <phoneticPr fontId="2"/>
  </si>
  <si>
    <t>Eucalyptus</t>
    <phoneticPr fontId="2"/>
  </si>
  <si>
    <t>Length (m)</t>
    <phoneticPr fontId="2"/>
  </si>
  <si>
    <t xml:space="preserve">Cost of rafter </t>
    <phoneticPr fontId="2"/>
  </si>
  <si>
    <t xml:space="preserve">Transport of rafter </t>
    <phoneticPr fontId="2"/>
  </si>
  <si>
    <t>total number of rafters carried</t>
    <phoneticPr fontId="2"/>
  </si>
  <si>
    <t>Transport per rafter</t>
    <phoneticPr fontId="2"/>
  </si>
  <si>
    <t xml:space="preserve">Total cost per meter </t>
    <phoneticPr fontId="2"/>
  </si>
  <si>
    <t>Output per day (m)</t>
    <phoneticPr fontId="2"/>
  </si>
  <si>
    <t>total labour per m</t>
    <phoneticPr fontId="2"/>
  </si>
  <si>
    <t>Total cost per m</t>
    <phoneticPr fontId="2"/>
  </si>
  <si>
    <t>TH (mm)</t>
    <phoneticPr fontId="2"/>
  </si>
  <si>
    <t>W (m)</t>
    <phoneticPr fontId="2"/>
  </si>
  <si>
    <t xml:space="preserve">L (m) </t>
    <phoneticPr fontId="2"/>
  </si>
  <si>
    <t>Weight of plate (Kgs)</t>
    <phoneticPr fontId="2"/>
  </si>
  <si>
    <t>Cost per plate</t>
    <phoneticPr fontId="2"/>
  </si>
  <si>
    <t>Cost per kg</t>
    <phoneticPr fontId="2"/>
  </si>
  <si>
    <t>Transport per plate</t>
    <phoneticPr fontId="2"/>
  </si>
  <si>
    <t>220 mm</t>
    <phoneticPr fontId="2"/>
  </si>
  <si>
    <t>PVC</t>
    <phoneticPr fontId="2"/>
  </si>
  <si>
    <t>Cost of Fascia board</t>
    <phoneticPr fontId="2"/>
  </si>
  <si>
    <t xml:space="preserve">Transport </t>
    <phoneticPr fontId="2"/>
  </si>
  <si>
    <t>Cost per m</t>
    <phoneticPr fontId="2"/>
  </si>
  <si>
    <t>L (m)</t>
    <phoneticPr fontId="2"/>
  </si>
  <si>
    <t>Gauge</t>
    <phoneticPr fontId="2"/>
  </si>
  <si>
    <t>Cost per sheet</t>
    <phoneticPr fontId="2"/>
  </si>
  <si>
    <t xml:space="preserve">Cost per square meter </t>
    <phoneticPr fontId="2"/>
  </si>
  <si>
    <t>size</t>
    <phoneticPr fontId="2"/>
  </si>
  <si>
    <t>Loading capacity of truck (sm)</t>
    <phoneticPr fontId="2"/>
  </si>
  <si>
    <t>Th (mm)</t>
    <phoneticPr fontId="2"/>
  </si>
  <si>
    <t>Add Plant/tools 5%</t>
    <phoneticPr fontId="2"/>
  </si>
  <si>
    <t>Loading and offloading costs</t>
    <phoneticPr fontId="2"/>
  </si>
  <si>
    <t>Transport costs per kg</t>
    <phoneticPr fontId="2"/>
  </si>
  <si>
    <t>Bags required</t>
    <phoneticPr fontId="2"/>
  </si>
  <si>
    <t>Quantity required</t>
    <phoneticPr fontId="2"/>
  </si>
  <si>
    <t>Total cost per bag</t>
    <phoneticPr fontId="2"/>
  </si>
  <si>
    <t>Cement</t>
    <phoneticPr fontId="2"/>
  </si>
  <si>
    <t>Sand</t>
    <phoneticPr fontId="2"/>
  </si>
  <si>
    <t>Volume required</t>
    <phoneticPr fontId="2"/>
  </si>
  <si>
    <t>Mortar %</t>
    <phoneticPr fontId="2"/>
  </si>
  <si>
    <t>Price</t>
    <phoneticPr fontId="2"/>
  </si>
  <si>
    <t>Density</t>
    <phoneticPr fontId="2"/>
  </si>
  <si>
    <t xml:space="preserve">Quantity carried </t>
    <phoneticPr fontId="2"/>
  </si>
  <si>
    <t>Stones %</t>
    <phoneticPr fontId="2"/>
  </si>
  <si>
    <t>Total cost cement</t>
    <phoneticPr fontId="2"/>
  </si>
  <si>
    <t>Price (transport inclusive)</t>
    <phoneticPr fontId="2"/>
  </si>
  <si>
    <t xml:space="preserve">Cost per ton of sand </t>
    <phoneticPr fontId="2"/>
  </si>
  <si>
    <t>Quantity required (cm)</t>
    <phoneticPr fontId="2"/>
  </si>
  <si>
    <t>Quantity required tons</t>
    <phoneticPr fontId="2"/>
  </si>
  <si>
    <t xml:space="preserve">Total cost of sand </t>
    <phoneticPr fontId="2"/>
  </si>
  <si>
    <t>Hardcore</t>
    <phoneticPr fontId="2"/>
  </si>
  <si>
    <t>Output per day (cm)</t>
    <phoneticPr fontId="2"/>
  </si>
  <si>
    <t>total labour per (cm)</t>
    <phoneticPr fontId="2"/>
  </si>
  <si>
    <t>Considered a 4 tonne truck</t>
    <phoneticPr fontId="2"/>
  </si>
  <si>
    <t>Concrete quantity</t>
    <phoneticPr fontId="2"/>
  </si>
  <si>
    <t>Concrete mix</t>
    <phoneticPr fontId="2"/>
  </si>
  <si>
    <t>Density of Cement</t>
    <phoneticPr fontId="2"/>
  </si>
  <si>
    <t>Quantity of cement required (m3)</t>
    <phoneticPr fontId="2"/>
  </si>
  <si>
    <t>Cement bags required</t>
    <phoneticPr fontId="2"/>
  </si>
  <si>
    <t>Transport cost</t>
    <phoneticPr fontId="2"/>
  </si>
  <si>
    <t>Number of bags carried</t>
    <phoneticPr fontId="2"/>
  </si>
  <si>
    <t>SAND</t>
    <phoneticPr fontId="2"/>
  </si>
  <si>
    <t>CEMENT</t>
    <phoneticPr fontId="2"/>
  </si>
  <si>
    <t>CONCRETE</t>
    <phoneticPr fontId="2"/>
  </si>
  <si>
    <t>Quantity of sand required (m3)</t>
    <phoneticPr fontId="2"/>
  </si>
  <si>
    <t>Quantity of sand required (tonnes)</t>
    <phoneticPr fontId="2"/>
  </si>
  <si>
    <t>Quantity carried by transportation (tonnes)</t>
    <phoneticPr fontId="2"/>
  </si>
  <si>
    <t>Total cost per ton</t>
    <phoneticPr fontId="2"/>
  </si>
  <si>
    <t>Total cost sand</t>
    <phoneticPr fontId="2"/>
  </si>
  <si>
    <t>AGGREGATES</t>
    <phoneticPr fontId="2"/>
  </si>
  <si>
    <t>Density of Aggregates</t>
    <phoneticPr fontId="2"/>
  </si>
  <si>
    <t>Quantity of aggregates required (m3)</t>
    <phoneticPr fontId="2"/>
  </si>
  <si>
    <t>Cost of aggregates</t>
    <phoneticPr fontId="2"/>
  </si>
  <si>
    <t>Total cost aggregates</t>
    <phoneticPr fontId="2"/>
  </si>
  <si>
    <t>Labour cost per m3</t>
    <phoneticPr fontId="2"/>
  </si>
  <si>
    <t>Coverage per day m3</t>
    <phoneticPr fontId="2"/>
  </si>
  <si>
    <t>Number of mansons deployed</t>
    <phoneticPr fontId="2"/>
  </si>
  <si>
    <t>LABOUR COSTS</t>
    <phoneticPr fontId="2"/>
  </si>
  <si>
    <t>Add Material wastage 10%</t>
    <phoneticPr fontId="2"/>
  </si>
  <si>
    <t>BLOCKWORK</t>
    <phoneticPr fontId="2"/>
  </si>
  <si>
    <t xml:space="preserve">Area to be covered </t>
    <phoneticPr fontId="2"/>
  </si>
  <si>
    <t>Thickness of the wall</t>
    <phoneticPr fontId="2"/>
  </si>
  <si>
    <t>BRICKS/ BLOCKS</t>
    <phoneticPr fontId="2"/>
  </si>
  <si>
    <t>Brick/block size</t>
    <phoneticPr fontId="2"/>
  </si>
  <si>
    <t>Mortar thickness</t>
    <phoneticPr fontId="2"/>
  </si>
  <si>
    <t>Brick/block size with mortar</t>
    <phoneticPr fontId="2"/>
  </si>
  <si>
    <t>No. of blocks required</t>
    <phoneticPr fontId="2"/>
  </si>
  <si>
    <t>Cost of brick/blocks</t>
    <phoneticPr fontId="2"/>
  </si>
  <si>
    <t>Quantity carried</t>
    <phoneticPr fontId="2"/>
  </si>
  <si>
    <t>Cost per brick/block</t>
    <phoneticPr fontId="2"/>
  </si>
  <si>
    <t>Transport per brick/bloc</t>
    <phoneticPr fontId="2"/>
  </si>
  <si>
    <t>Total cost of bricks/blocks</t>
    <phoneticPr fontId="2"/>
  </si>
  <si>
    <t xml:space="preserve">CEMENT </t>
    <phoneticPr fontId="2"/>
  </si>
  <si>
    <t>Add material wastage 5%</t>
    <phoneticPr fontId="2"/>
  </si>
  <si>
    <t>Coverage per day m2</t>
    <phoneticPr fontId="2"/>
  </si>
  <si>
    <t>Labour cost per m2</t>
    <phoneticPr fontId="2"/>
  </si>
  <si>
    <t xml:space="preserve">Item </t>
    <phoneticPr fontId="2"/>
  </si>
  <si>
    <t xml:space="preserve">Cement </t>
    <phoneticPr fontId="2"/>
  </si>
  <si>
    <t>bags</t>
    <phoneticPr fontId="2"/>
  </si>
  <si>
    <t>Rate</t>
    <phoneticPr fontId="2"/>
  </si>
  <si>
    <t xml:space="preserve">Sand </t>
    <phoneticPr fontId="2"/>
  </si>
  <si>
    <t>tonnes</t>
    <phoneticPr fontId="2"/>
  </si>
  <si>
    <t>Aggregates</t>
    <phoneticPr fontId="2"/>
  </si>
  <si>
    <t>Labour</t>
    <phoneticPr fontId="2"/>
  </si>
  <si>
    <t>Amount</t>
    <phoneticPr fontId="2"/>
  </si>
  <si>
    <t>Plant 3%</t>
    <phoneticPr fontId="2"/>
  </si>
  <si>
    <t>Profit and overheads 20%</t>
    <phoneticPr fontId="2"/>
  </si>
  <si>
    <t>Bricks/blocks</t>
    <phoneticPr fontId="2"/>
  </si>
  <si>
    <t>no.</t>
    <phoneticPr fontId="2"/>
  </si>
  <si>
    <t>Concrete quantity after bulking</t>
    <phoneticPr fontId="2"/>
  </si>
  <si>
    <t>Number of helpers deployed</t>
    <phoneticPr fontId="2"/>
  </si>
  <si>
    <t>Days</t>
    <phoneticPr fontId="2"/>
  </si>
  <si>
    <t>Semi-skilled labour</t>
    <phoneticPr fontId="2"/>
  </si>
  <si>
    <t>Basic pay per day</t>
    <phoneticPr fontId="2"/>
  </si>
  <si>
    <t>Basic pay per week</t>
    <phoneticPr fontId="2"/>
  </si>
  <si>
    <t>Add NSSF (%)</t>
    <phoneticPr fontId="2"/>
  </si>
  <si>
    <t>Monthly</t>
    <phoneticPr fontId="2"/>
  </si>
  <si>
    <t>Third party assurance %</t>
    <phoneticPr fontId="2"/>
  </si>
  <si>
    <t>Guaranteed time %</t>
    <phoneticPr fontId="2"/>
  </si>
  <si>
    <t>Sick benefit %</t>
    <phoneticPr fontId="2"/>
  </si>
  <si>
    <t>Weekly percentage %</t>
    <phoneticPr fontId="2"/>
  </si>
  <si>
    <t>Total cost allowances</t>
    <phoneticPr fontId="2"/>
  </si>
  <si>
    <t>Total cost per day</t>
    <phoneticPr fontId="2"/>
  </si>
  <si>
    <t>Basic pay per hour</t>
    <phoneticPr fontId="2"/>
  </si>
  <si>
    <t>Skilled labour</t>
    <phoneticPr fontId="2"/>
  </si>
  <si>
    <t>Un-skilled labour</t>
    <phoneticPr fontId="2"/>
  </si>
  <si>
    <t xml:space="preserve">Concrete </t>
    <phoneticPr fontId="2"/>
  </si>
  <si>
    <t>Offloading</t>
    <phoneticPr fontId="2"/>
  </si>
  <si>
    <t>Density of cement Kg/m3</t>
    <phoneticPr fontId="2"/>
  </si>
  <si>
    <t>Number of bags per cubic meter</t>
    <phoneticPr fontId="2"/>
  </si>
  <si>
    <t>Cost of a cement bag</t>
    <phoneticPr fontId="2"/>
  </si>
  <si>
    <t>Total cost cement bags</t>
    <phoneticPr fontId="2"/>
  </si>
  <si>
    <t>Density of sand Kg/m3</t>
    <phoneticPr fontId="2"/>
  </si>
  <si>
    <t>Cubic meters required</t>
    <phoneticPr fontId="2"/>
  </si>
  <si>
    <t>Cost of a sand</t>
    <phoneticPr fontId="2"/>
  </si>
  <si>
    <t>Total cost per cubic meter</t>
    <phoneticPr fontId="2"/>
  </si>
  <si>
    <t>Quantity carried tons</t>
    <phoneticPr fontId="2"/>
  </si>
  <si>
    <t>Quantity carried m3</t>
    <phoneticPr fontId="2"/>
  </si>
  <si>
    <t xml:space="preserve">Total </t>
    <phoneticPr fontId="2"/>
  </si>
  <si>
    <t>Total cost per m3 (materials)</t>
    <phoneticPr fontId="2"/>
  </si>
  <si>
    <t>Add Shrinkage 54%</t>
    <phoneticPr fontId="2"/>
  </si>
  <si>
    <t>Add wastage 5%</t>
    <phoneticPr fontId="2"/>
  </si>
  <si>
    <t>Machinery (ready mixer)</t>
    <phoneticPr fontId="2"/>
  </si>
  <si>
    <t>Total machinery per day</t>
    <phoneticPr fontId="2"/>
  </si>
  <si>
    <t>Renting period (per hour/day)</t>
    <phoneticPr fontId="2"/>
  </si>
  <si>
    <t>No. of un-skilled labour deployed</t>
    <phoneticPr fontId="2"/>
  </si>
  <si>
    <t>No. of skilled labour deployed</t>
    <phoneticPr fontId="2"/>
  </si>
  <si>
    <t>Volume per hour/day</t>
    <phoneticPr fontId="2"/>
  </si>
  <si>
    <t>Fuel per hour/day</t>
    <phoneticPr fontId="2"/>
  </si>
  <si>
    <t>Rent price per hour/day</t>
    <phoneticPr fontId="2"/>
  </si>
  <si>
    <t>All inclusive rate</t>
    <phoneticPr fontId="2"/>
  </si>
  <si>
    <t xml:space="preserve">Add profits and overheads </t>
    <phoneticPr fontId="2"/>
  </si>
  <si>
    <t>Add plant 5%</t>
    <phoneticPr fontId="2"/>
  </si>
  <si>
    <t>Semi-skilled</t>
    <phoneticPr fontId="2"/>
  </si>
  <si>
    <t>Plant 5%</t>
    <phoneticPr fontId="2"/>
  </si>
  <si>
    <t>Add allowance for binder 20%</t>
    <phoneticPr fontId="2"/>
  </si>
  <si>
    <t>Wastage 5%</t>
    <phoneticPr fontId="2"/>
  </si>
  <si>
    <t>Add wastage 10%</t>
    <phoneticPr fontId="2"/>
  </si>
  <si>
    <t>Skilled worker</t>
    <phoneticPr fontId="2"/>
  </si>
  <si>
    <t>semi-skilled</t>
    <phoneticPr fontId="2"/>
  </si>
  <si>
    <t>Qtty</t>
    <phoneticPr fontId="2"/>
  </si>
  <si>
    <t>m3</t>
    <phoneticPr fontId="2"/>
  </si>
  <si>
    <t>Add Material wastage 5%</t>
    <phoneticPr fontId="2"/>
  </si>
  <si>
    <t xml:space="preserve">Skilled worker </t>
    <phoneticPr fontId="2"/>
  </si>
  <si>
    <t>semi skilled worker</t>
    <phoneticPr fontId="2"/>
  </si>
  <si>
    <t xml:space="preserve">Work to do </t>
    <phoneticPr fontId="2"/>
  </si>
  <si>
    <t>Insuarance of a project</t>
    <phoneticPr fontId="2"/>
  </si>
  <si>
    <t>Project data</t>
    <phoneticPr fontId="2"/>
  </si>
  <si>
    <t>Contract sum</t>
    <phoneticPr fontId="2"/>
  </si>
  <si>
    <t>Labour cost</t>
    <phoneticPr fontId="2"/>
  </si>
  <si>
    <t>Location</t>
    <phoneticPr fontId="2"/>
  </si>
  <si>
    <t>Kampala</t>
    <phoneticPr fontId="2"/>
  </si>
  <si>
    <t>Contractor's All Risks (CAR)</t>
    <phoneticPr fontId="2"/>
  </si>
  <si>
    <t xml:space="preserve">Sum insured </t>
    <phoneticPr fontId="2"/>
  </si>
  <si>
    <t>Market rate %</t>
    <phoneticPr fontId="2"/>
  </si>
  <si>
    <t>Premium</t>
    <phoneticPr fontId="2"/>
  </si>
  <si>
    <t>Third Party Liability</t>
    <phoneticPr fontId="2"/>
  </si>
  <si>
    <t>Liability limit</t>
    <phoneticPr fontId="2"/>
  </si>
  <si>
    <t>Workmen's compensation</t>
    <phoneticPr fontId="2"/>
  </si>
  <si>
    <t>Design fee portion</t>
    <phoneticPr fontId="2"/>
  </si>
  <si>
    <t>Professional Indemnity</t>
    <phoneticPr fontId="2"/>
  </si>
  <si>
    <t>Statutory charges</t>
    <phoneticPr fontId="2"/>
  </si>
  <si>
    <t>Add admin + profit</t>
    <phoneticPr fontId="2"/>
  </si>
  <si>
    <t>Approximate total</t>
    <phoneticPr fontId="2"/>
  </si>
  <si>
    <t>Add broker fee 10%</t>
    <phoneticPr fontId="2"/>
  </si>
  <si>
    <t>Insurance %</t>
    <phoneticPr fontId="2"/>
  </si>
  <si>
    <t>stamp duty</t>
    <phoneticPr fontId="2"/>
  </si>
  <si>
    <t>Duration (months)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</si>
</sst>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_);[Red]\(0.00\)"/>
    <numFmt numFmtId="165" formatCode="#,##0.00_ ;[Red]\-#,##0.00\ "/>
    <numFmt numFmtId="166" formatCode="#,##0.000_ ;[Red]\-#,##0.000\ "/>
    <numFmt numFmtId="167" formatCode="#,##0_ "/>
    <numFmt numFmtId="168" formatCode="#,##0_);[Red]\(#,##0\)"/>
    <numFmt numFmtId="169" formatCode="#,##0.00_);[Red]\(#,##0.00\)"/>
    <numFmt numFmtId="170" formatCode="0.000_);[Red]\(0.000\)"/>
    <numFmt numFmtId="171" formatCode="0_ "/>
    <numFmt numFmtId="172" formatCode="#,##0_ ;[Red]\-#,##0\ "/>
    <numFmt numFmtId="173" formatCode="#,##0.00_ "/>
    <numFmt numFmtId="174" formatCode="0.0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sz val="11"/>
      <color rgb="FFFF0000"/>
      <name val="Garamond"/>
      <family val="1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b/>
      <sz val="12"/>
      <color rgb="FFC00000"/>
      <name val="Garamond"/>
      <family val="1"/>
    </font>
    <font>
      <b/>
      <sz val="11"/>
      <color rgb="FFC0000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0" fontId="1" fillId="0" borderId="0" applyFont="0" applyFill="0" applyBorder="0" applyAlignment="0" applyProtection="0">
      <alignment vertical="center"/>
    </xf>
  </cellStyleXfs>
  <cellXfs count="101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4" fontId="5" fillId="0" borderId="0" xfId="1" applyNumberFormat="1" applyFont="1" applyFill="1" applyAlignment="1"/>
    <xf numFmtId="0" fontId="3" fillId="0" borderId="1" xfId="0" applyFont="1" applyBorder="1"/>
    <xf numFmtId="40" fontId="4" fillId="0" borderId="1" xfId="1" applyFont="1" applyFill="1" applyBorder="1" applyAlignment="1"/>
    <xf numFmtId="165" fontId="4" fillId="0" borderId="1" xfId="1" applyNumberFormat="1" applyFont="1" applyBorder="1" applyAlignment="1"/>
    <xf numFmtId="164" fontId="6" fillId="0" borderId="0" xfId="1" applyNumberFormat="1" applyFont="1" applyFill="1" applyAlignment="1"/>
    <xf numFmtId="0" fontId="3" fillId="0" borderId="0" xfId="0" applyFont="1" applyAlignment="1">
      <alignment wrapText="1"/>
    </xf>
    <xf numFmtId="164" fontId="3" fillId="0" borderId="0" xfId="0" applyNumberFormat="1" applyFont="1"/>
    <xf numFmtId="40" fontId="6" fillId="0" borderId="0" xfId="1" applyFont="1" applyFill="1" applyAlignment="1"/>
    <xf numFmtId="165" fontId="4" fillId="0" borderId="0" xfId="1" applyNumberFormat="1" applyFont="1" applyAlignment="1"/>
    <xf numFmtId="165" fontId="6" fillId="0" borderId="0" xfId="1" applyNumberFormat="1" applyFont="1" applyAlignment="1"/>
    <xf numFmtId="164" fontId="6" fillId="0" borderId="0" xfId="0" applyNumberFormat="1" applyFont="1"/>
    <xf numFmtId="165" fontId="3" fillId="0" borderId="0" xfId="1" applyNumberFormat="1" applyFont="1" applyAlignment="1"/>
    <xf numFmtId="166" fontId="4" fillId="0" borderId="0" xfId="1" applyNumberFormat="1" applyFont="1" applyAlignment="1"/>
    <xf numFmtId="165" fontId="4" fillId="0" borderId="0" xfId="1" applyNumberFormat="1" applyFont="1" applyFill="1" applyAlignment="1"/>
    <xf numFmtId="166" fontId="6" fillId="0" borderId="0" xfId="1" applyNumberFormat="1" applyFont="1" applyAlignment="1"/>
    <xf numFmtId="167" fontId="4" fillId="0" borderId="0" xfId="0" applyNumberFormat="1" applyFont="1"/>
    <xf numFmtId="165" fontId="4" fillId="0" borderId="0" xfId="0" applyNumberFormat="1" applyFont="1"/>
    <xf numFmtId="0" fontId="4" fillId="0" borderId="1" xfId="0" applyFont="1" applyBorder="1"/>
    <xf numFmtId="168" fontId="4" fillId="0" borderId="1" xfId="0" applyNumberFormat="1" applyFont="1" applyBorder="1"/>
    <xf numFmtId="168" fontId="5" fillId="0" borderId="1" xfId="0" applyNumberFormat="1" applyFont="1" applyBorder="1"/>
    <xf numFmtId="164" fontId="5" fillId="0" borderId="1" xfId="0" applyNumberFormat="1" applyFont="1" applyBorder="1"/>
    <xf numFmtId="164" fontId="5" fillId="0" borderId="1" xfId="0" applyNumberFormat="1" applyFont="1" applyBorder="1" applyAlignment="1">
      <alignment horizontal="right"/>
    </xf>
    <xf numFmtId="40" fontId="5" fillId="0" borderId="1" xfId="1" applyFont="1" applyBorder="1" applyAlignment="1"/>
    <xf numFmtId="40" fontId="4" fillId="0" borderId="0" xfId="1" applyFont="1" applyAlignment="1"/>
    <xf numFmtId="0" fontId="6" fillId="0" borderId="0" xfId="0" applyFont="1"/>
    <xf numFmtId="164" fontId="4" fillId="0" borderId="3" xfId="0" applyNumberFormat="1" applyFont="1" applyBorder="1"/>
    <xf numFmtId="40" fontId="4" fillId="0" borderId="3" xfId="1" applyFont="1" applyFill="1" applyBorder="1" applyAlignment="1"/>
    <xf numFmtId="165" fontId="4" fillId="0" borderId="3" xfId="1" applyNumberFormat="1" applyFont="1" applyBorder="1" applyAlignment="1"/>
    <xf numFmtId="169" fontId="4" fillId="0" borderId="0" xfId="1" applyNumberFormat="1" applyFont="1" applyAlignment="1"/>
    <xf numFmtId="169" fontId="6" fillId="0" borderId="0" xfId="1" applyNumberFormat="1" applyFont="1" applyAlignment="1"/>
    <xf numFmtId="169" fontId="3" fillId="0" borderId="0" xfId="1" applyNumberFormat="1" applyFont="1" applyAlignment="1"/>
    <xf numFmtId="169" fontId="4" fillId="0" borderId="2" xfId="1" applyNumberFormat="1" applyFont="1" applyBorder="1" applyAlignment="1"/>
    <xf numFmtId="169" fontId="4" fillId="0" borderId="2" xfId="1" applyNumberFormat="1" applyFont="1" applyFill="1" applyBorder="1" applyAlignment="1"/>
    <xf numFmtId="0" fontId="8" fillId="0" borderId="0" xfId="0" applyFont="1"/>
    <xf numFmtId="40" fontId="8" fillId="0" borderId="0" xfId="1" applyFont="1" applyFill="1" applyBorder="1" applyAlignment="1"/>
    <xf numFmtId="165" fontId="8" fillId="0" borderId="0" xfId="1" applyNumberFormat="1" applyFont="1" applyAlignment="1"/>
    <xf numFmtId="164" fontId="8" fillId="0" borderId="0" xfId="0" applyNumberFormat="1" applyFont="1"/>
    <xf numFmtId="0" fontId="10" fillId="0" borderId="0" xfId="0" applyFont="1"/>
    <xf numFmtId="165" fontId="11" fillId="0" borderId="0" xfId="1" applyNumberFormat="1" applyFont="1" applyFill="1" applyBorder="1" applyAlignment="1"/>
    <xf numFmtId="164" fontId="11" fillId="0" borderId="0" xfId="0" applyNumberFormat="1" applyFont="1"/>
    <xf numFmtId="0" fontId="11" fillId="0" borderId="0" xfId="0" applyFont="1"/>
    <xf numFmtId="165" fontId="10" fillId="0" borderId="0" xfId="1" applyNumberFormat="1" applyFont="1" applyFill="1" applyBorder="1" applyAlignment="1"/>
    <xf numFmtId="40" fontId="11" fillId="0" borderId="0" xfId="1" applyFont="1" applyFill="1" applyBorder="1" applyAlignment="1"/>
    <xf numFmtId="165" fontId="11" fillId="0" borderId="0" xfId="1" applyNumberFormat="1" applyFont="1" applyAlignment="1"/>
    <xf numFmtId="40" fontId="10" fillId="0" borderId="0" xfId="1" applyFont="1" applyFill="1" applyBorder="1" applyAlignment="1"/>
    <xf numFmtId="165" fontId="12" fillId="0" borderId="0" xfId="1" applyNumberFormat="1" applyFont="1" applyFill="1" applyBorder="1" applyAlignment="1"/>
    <xf numFmtId="164" fontId="12" fillId="0" borderId="0" xfId="0" applyNumberFormat="1" applyFont="1"/>
    <xf numFmtId="164" fontId="9" fillId="0" borderId="0" xfId="0" applyNumberFormat="1" applyFont="1"/>
    <xf numFmtId="166" fontId="8" fillId="0" borderId="0" xfId="1" applyNumberFormat="1" applyFont="1" applyAlignment="1"/>
    <xf numFmtId="0" fontId="7" fillId="0" borderId="0" xfId="0" applyFont="1"/>
    <xf numFmtId="165" fontId="8" fillId="0" borderId="0" xfId="1" applyNumberFormat="1" applyFont="1" applyBorder="1" applyAlignment="1"/>
    <xf numFmtId="165" fontId="9" fillId="0" borderId="0" xfId="1" applyNumberFormat="1" applyFont="1" applyBorder="1" applyAlignment="1"/>
    <xf numFmtId="166" fontId="8" fillId="0" borderId="0" xfId="1" applyNumberFormat="1" applyFont="1" applyBorder="1" applyAlignment="1"/>
    <xf numFmtId="165" fontId="7" fillId="0" borderId="0" xfId="1" applyNumberFormat="1" applyFont="1" applyBorder="1" applyAlignment="1"/>
    <xf numFmtId="165" fontId="13" fillId="0" borderId="0" xfId="1" applyNumberFormat="1" applyFont="1" applyBorder="1" applyAlignment="1"/>
    <xf numFmtId="164" fontId="13" fillId="0" borderId="0" xfId="0" applyNumberFormat="1" applyFont="1"/>
    <xf numFmtId="166" fontId="13" fillId="0" borderId="0" xfId="1" applyNumberFormat="1" applyFont="1" applyBorder="1" applyAlignment="1"/>
    <xf numFmtId="166" fontId="11" fillId="0" borderId="0" xfId="1" applyNumberFormat="1" applyFont="1" applyFill="1" applyBorder="1" applyAlignment="1"/>
    <xf numFmtId="0" fontId="10" fillId="0" borderId="1" xfId="0" applyFont="1" applyBorder="1"/>
    <xf numFmtId="165" fontId="10" fillId="0" borderId="1" xfId="1" applyNumberFormat="1" applyFont="1" applyFill="1" applyBorder="1" applyAlignment="1"/>
    <xf numFmtId="164" fontId="10" fillId="0" borderId="1" xfId="0" applyNumberFormat="1" applyFont="1" applyBorder="1"/>
    <xf numFmtId="165" fontId="11" fillId="0" borderId="1" xfId="1" applyNumberFormat="1" applyFont="1" applyBorder="1" applyAlignment="1"/>
    <xf numFmtId="170" fontId="11" fillId="0" borderId="1" xfId="0" applyNumberFormat="1" applyFont="1" applyBorder="1"/>
    <xf numFmtId="164" fontId="11" fillId="0" borderId="1" xfId="0" applyNumberFormat="1" applyFont="1" applyBorder="1"/>
    <xf numFmtId="40" fontId="11" fillId="0" borderId="1" xfId="1" applyFont="1" applyBorder="1" applyAlignment="1"/>
    <xf numFmtId="40" fontId="10" fillId="0" borderId="1" xfId="1" applyFont="1" applyBorder="1" applyAlignment="1"/>
    <xf numFmtId="165" fontId="11" fillId="0" borderId="1" xfId="1" applyNumberFormat="1" applyFont="1" applyFill="1" applyBorder="1" applyAlignment="1"/>
    <xf numFmtId="167" fontId="8" fillId="0" borderId="0" xfId="0" applyNumberFormat="1" applyFont="1"/>
    <xf numFmtId="0" fontId="8" fillId="0" borderId="4" xfId="0" applyFont="1" applyBorder="1"/>
    <xf numFmtId="0" fontId="8" fillId="0" borderId="3" xfId="0" applyFont="1" applyBorder="1"/>
    <xf numFmtId="0" fontId="7" fillId="0" borderId="3" xfId="0" applyFont="1" applyBorder="1"/>
    <xf numFmtId="0" fontId="8" fillId="0" borderId="5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167" fontId="7" fillId="0" borderId="4" xfId="0" applyNumberFormat="1" applyFont="1" applyBorder="1"/>
    <xf numFmtId="0" fontId="7" fillId="0" borderId="6" xfId="0" applyFont="1" applyBorder="1"/>
    <xf numFmtId="167" fontId="7" fillId="0" borderId="0" xfId="0" applyNumberFormat="1" applyFont="1"/>
    <xf numFmtId="40" fontId="8" fillId="0" borderId="0" xfId="1" applyFont="1" applyAlignment="1"/>
    <xf numFmtId="171" fontId="8" fillId="0" borderId="0" xfId="0" applyNumberFormat="1" applyFont="1"/>
    <xf numFmtId="40" fontId="7" fillId="0" borderId="11" xfId="1" applyFont="1" applyBorder="1" applyAlignment="1"/>
    <xf numFmtId="40" fontId="8" fillId="0" borderId="0" xfId="0" applyNumberFormat="1" applyFont="1"/>
    <xf numFmtId="172" fontId="8" fillId="0" borderId="0" xfId="1" applyNumberFormat="1" applyFont="1" applyAlignment="1"/>
    <xf numFmtId="0" fontId="4" fillId="0" borderId="12" xfId="0" applyFont="1" applyBorder="1"/>
    <xf numFmtId="40" fontId="5" fillId="0" borderId="12" xfId="1" applyFont="1" applyBorder="1" applyAlignment="1"/>
    <xf numFmtId="164" fontId="5" fillId="0" borderId="0" xfId="0" applyNumberFormat="1" applyFont="1"/>
    <xf numFmtId="40" fontId="4" fillId="0" borderId="0" xfId="1" applyFont="1" applyBorder="1" applyAlignment="1"/>
    <xf numFmtId="164" fontId="10" fillId="0" borderId="0" xfId="0" applyNumberFormat="1" applyFont="1"/>
    <xf numFmtId="167" fontId="11" fillId="0" borderId="0" xfId="0" applyNumberFormat="1" applyFont="1"/>
    <xf numFmtId="0" fontId="11" fillId="2" borderId="0" xfId="0" applyFont="1" applyFill="1"/>
    <xf numFmtId="0" fontId="11" fillId="0" borderId="0" xfId="0" applyFont="1" applyAlignment="1">
      <alignment horizontal="left"/>
    </xf>
    <xf numFmtId="40" fontId="11" fillId="0" borderId="0" xfId="1" applyFont="1" applyAlignment="1"/>
    <xf numFmtId="173" fontId="11" fillId="0" borderId="0" xfId="0" applyNumberFormat="1" applyFont="1"/>
    <xf numFmtId="174" fontId="11" fillId="2" borderId="0" xfId="0" applyNumberFormat="1" applyFont="1" applyFill="1"/>
    <xf numFmtId="165" fontId="11" fillId="0" borderId="0" xfId="1" applyNumberFormat="1" applyFont="1" applyBorder="1" applyAlignment="1"/>
    <xf numFmtId="40" fontId="10" fillId="0" borderId="0" xfId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0282-0CD2-44E9-A006-1FE1323D9B86}">
  <dimension ref="A1:G55"/>
  <sheetViews>
    <sheetView topLeftCell="A36" zoomScaleNormal="100" workbookViewId="0">
      <selection activeCell="D5" sqref="D5"/>
    </sheetView>
  </sheetViews>
  <sheetFormatPr defaultColWidth="9" defaultRowHeight="15.75"/>
  <cols>
    <col min="1" max="1" width="22.42578125" style="44" customWidth="1"/>
    <col min="2" max="2" width="14.5703125" style="47" bestFit="1" customWidth="1"/>
    <col min="3" max="3" width="9.140625" style="43" bestFit="1" customWidth="1"/>
    <col min="4" max="4" width="11.28515625" style="43" bestFit="1" customWidth="1"/>
    <col min="5" max="5" width="14.28515625" style="44" bestFit="1" customWidth="1"/>
    <col min="6" max="6" width="2.42578125" style="41" bestFit="1" customWidth="1"/>
    <col min="7" max="7" width="20.42578125" style="44" bestFit="1" customWidth="1"/>
    <col min="8" max="16384" width="9" style="44"/>
  </cols>
  <sheetData>
    <row r="1" spans="1:7">
      <c r="A1" s="41" t="s">
        <v>195</v>
      </c>
      <c r="B1" s="42"/>
    </row>
    <row r="2" spans="1:7">
      <c r="A2" s="44" t="s">
        <v>186</v>
      </c>
      <c r="B2" s="49">
        <v>1</v>
      </c>
      <c r="C2" s="50"/>
      <c r="D2" s="50"/>
    </row>
    <row r="3" spans="1:7">
      <c r="A3" s="44" t="s">
        <v>241</v>
      </c>
      <c r="B3" s="49">
        <f>B2*1.54</f>
        <v>1.54</v>
      </c>
      <c r="C3" s="50"/>
      <c r="D3" s="50"/>
      <c r="G3" s="41" t="s">
        <v>297</v>
      </c>
    </row>
    <row r="4" spans="1:7">
      <c r="A4" s="44" t="s">
        <v>187</v>
      </c>
      <c r="B4" s="49">
        <v>1</v>
      </c>
      <c r="C4" s="50">
        <v>1</v>
      </c>
      <c r="D4" s="50">
        <v>1.5</v>
      </c>
      <c r="F4" s="41">
        <v>1</v>
      </c>
      <c r="G4" s="44" t="s">
        <v>298</v>
      </c>
    </row>
    <row r="5" spans="1:7">
      <c r="B5" s="42"/>
    </row>
    <row r="6" spans="1:7">
      <c r="A6" s="41" t="s">
        <v>194</v>
      </c>
      <c r="B6" s="42"/>
    </row>
    <row r="7" spans="1:7">
      <c r="A7" s="44" t="s">
        <v>188</v>
      </c>
      <c r="B7" s="49">
        <v>1440</v>
      </c>
    </row>
    <row r="8" spans="1:7">
      <c r="A8" s="44" t="s">
        <v>189</v>
      </c>
      <c r="B8" s="42">
        <f>((B4/SUM(B4:D4))*B3)</f>
        <v>0.44</v>
      </c>
      <c r="E8" s="43"/>
      <c r="F8" s="92"/>
    </row>
    <row r="9" spans="1:7">
      <c r="A9" s="44" t="s">
        <v>190</v>
      </c>
      <c r="B9" s="42">
        <f>(B8*B7)/50</f>
        <v>12.672000000000001</v>
      </c>
      <c r="E9" s="43"/>
      <c r="F9" s="92"/>
    </row>
    <row r="10" spans="1:7">
      <c r="A10" s="44" t="s">
        <v>288</v>
      </c>
      <c r="B10" s="42">
        <f>B9*1.05</f>
        <v>13.305600000000002</v>
      </c>
      <c r="E10" s="43"/>
      <c r="F10" s="92"/>
    </row>
    <row r="11" spans="1:7">
      <c r="A11" s="44" t="s">
        <v>39</v>
      </c>
      <c r="B11" s="49">
        <v>47000</v>
      </c>
      <c r="E11" s="43"/>
      <c r="F11" s="92"/>
    </row>
    <row r="12" spans="1:7">
      <c r="A12" s="44" t="s">
        <v>191</v>
      </c>
      <c r="B12" s="49">
        <v>200000</v>
      </c>
      <c r="E12" s="43"/>
      <c r="F12" s="92"/>
    </row>
    <row r="13" spans="1:7">
      <c r="A13" s="44" t="s">
        <v>192</v>
      </c>
      <c r="B13" s="49">
        <v>100</v>
      </c>
      <c r="E13" s="43"/>
      <c r="F13" s="92"/>
    </row>
    <row r="14" spans="1:7">
      <c r="A14" s="44" t="s">
        <v>31</v>
      </c>
      <c r="B14" s="42">
        <f>B12/B13</f>
        <v>2000</v>
      </c>
      <c r="E14" s="43"/>
      <c r="F14" s="92"/>
    </row>
    <row r="15" spans="1:7">
      <c r="A15" s="44" t="s">
        <v>126</v>
      </c>
      <c r="B15" s="42">
        <v>1000</v>
      </c>
      <c r="E15" s="43"/>
      <c r="F15" s="92"/>
    </row>
    <row r="16" spans="1:7">
      <c r="A16" s="44" t="s">
        <v>167</v>
      </c>
      <c r="B16" s="42">
        <f>B14+B11+B15</f>
        <v>50000</v>
      </c>
      <c r="E16" s="43"/>
      <c r="F16" s="92"/>
    </row>
    <row r="17" spans="1:6">
      <c r="A17" s="44" t="s">
        <v>176</v>
      </c>
      <c r="B17" s="45">
        <f>B16*B10</f>
        <v>665280.00000000012</v>
      </c>
      <c r="E17" s="43"/>
      <c r="F17" s="92"/>
    </row>
    <row r="18" spans="1:6">
      <c r="B18" s="42"/>
    </row>
    <row r="19" spans="1:6">
      <c r="A19" s="41" t="s">
        <v>193</v>
      </c>
      <c r="B19" s="42"/>
    </row>
    <row r="20" spans="1:6">
      <c r="A20" s="44" t="s">
        <v>42</v>
      </c>
      <c r="B20" s="49">
        <v>1600</v>
      </c>
    </row>
    <row r="21" spans="1:6">
      <c r="A21" s="44" t="s">
        <v>196</v>
      </c>
      <c r="B21" s="42">
        <f>((C4/SUM(B4:D4))*B3)</f>
        <v>0.44</v>
      </c>
    </row>
    <row r="22" spans="1:6">
      <c r="A22" s="44" t="s">
        <v>197</v>
      </c>
      <c r="B22" s="42">
        <f>B21*B20/1000</f>
        <v>0.70399999999999996</v>
      </c>
    </row>
    <row r="23" spans="1:6">
      <c r="A23" s="44" t="s">
        <v>294</v>
      </c>
      <c r="B23" s="42">
        <f>B22*1.05</f>
        <v>0.73919999999999997</v>
      </c>
    </row>
    <row r="24" spans="1:6">
      <c r="A24" s="44" t="s">
        <v>40</v>
      </c>
      <c r="B24" s="49">
        <v>200000</v>
      </c>
    </row>
    <row r="25" spans="1:6">
      <c r="A25" s="44" t="s">
        <v>191</v>
      </c>
      <c r="B25" s="49">
        <v>80000</v>
      </c>
    </row>
    <row r="26" spans="1:6">
      <c r="A26" s="44" t="s">
        <v>198</v>
      </c>
      <c r="B26" s="49">
        <v>2.5</v>
      </c>
    </row>
    <row r="27" spans="1:6">
      <c r="A27" s="44" t="s">
        <v>199</v>
      </c>
      <c r="B27" s="42">
        <f>(B24+B25)/B26</f>
        <v>112000</v>
      </c>
    </row>
    <row r="28" spans="1:6">
      <c r="A28" s="44" t="s">
        <v>200</v>
      </c>
      <c r="B28" s="45">
        <f>B27*B23</f>
        <v>82790.399999999994</v>
      </c>
    </row>
    <row r="29" spans="1:6">
      <c r="B29" s="42"/>
    </row>
    <row r="30" spans="1:6">
      <c r="A30" s="41" t="s">
        <v>201</v>
      </c>
      <c r="B30" s="42"/>
    </row>
    <row r="31" spans="1:6">
      <c r="A31" s="44" t="s">
        <v>202</v>
      </c>
      <c r="B31" s="49">
        <v>1500</v>
      </c>
    </row>
    <row r="32" spans="1:6">
      <c r="A32" s="44" t="s">
        <v>203</v>
      </c>
      <c r="B32" s="42">
        <f>((D4/SUM(B4:D4))*B3)</f>
        <v>0.66</v>
      </c>
    </row>
    <row r="33" spans="1:4">
      <c r="A33" s="44" t="s">
        <v>197</v>
      </c>
      <c r="B33" s="42">
        <f>B32*B31/1000</f>
        <v>0.99</v>
      </c>
    </row>
    <row r="34" spans="1:4">
      <c r="A34" s="44" t="s">
        <v>294</v>
      </c>
      <c r="B34" s="42">
        <f>B33*1.05</f>
        <v>1.0395000000000001</v>
      </c>
    </row>
    <row r="35" spans="1:4">
      <c r="A35" s="44" t="s">
        <v>204</v>
      </c>
      <c r="B35" s="49">
        <v>250000</v>
      </c>
    </row>
    <row r="36" spans="1:4">
      <c r="A36" s="44" t="s">
        <v>191</v>
      </c>
      <c r="B36" s="49">
        <v>100000</v>
      </c>
    </row>
    <row r="37" spans="1:4">
      <c r="A37" s="44" t="s">
        <v>198</v>
      </c>
      <c r="B37" s="49">
        <v>2.5</v>
      </c>
    </row>
    <row r="38" spans="1:4">
      <c r="A38" s="44" t="s">
        <v>199</v>
      </c>
      <c r="B38" s="42">
        <f>(B35+B36)/B37</f>
        <v>140000</v>
      </c>
    </row>
    <row r="39" spans="1:4">
      <c r="A39" s="44" t="s">
        <v>205</v>
      </c>
      <c r="B39" s="45">
        <f>B38*B34</f>
        <v>145530</v>
      </c>
    </row>
    <row r="40" spans="1:4">
      <c r="B40" s="42"/>
    </row>
    <row r="41" spans="1:4">
      <c r="A41" s="41" t="s">
        <v>209</v>
      </c>
      <c r="B41" s="42"/>
    </row>
    <row r="42" spans="1:4">
      <c r="A42" s="44" t="s">
        <v>242</v>
      </c>
      <c r="B42" s="49">
        <v>2</v>
      </c>
    </row>
    <row r="43" spans="1:4">
      <c r="A43" s="44" t="s">
        <v>290</v>
      </c>
      <c r="B43" s="49">
        <f>'Built up labour rate'!F15</f>
        <v>30669.642857142859</v>
      </c>
      <c r="C43" s="42"/>
      <c r="D43" s="46"/>
    </row>
    <row r="44" spans="1:4">
      <c r="A44" s="44" t="s">
        <v>291</v>
      </c>
      <c r="B44" s="49">
        <f>'Built up labour rate'!B15</f>
        <v>15334.821428571429</v>
      </c>
      <c r="C44" s="42"/>
    </row>
    <row r="45" spans="1:4">
      <c r="A45" s="44" t="s">
        <v>207</v>
      </c>
      <c r="B45" s="49">
        <v>5</v>
      </c>
      <c r="C45" s="42"/>
      <c r="D45" s="44"/>
    </row>
    <row r="46" spans="1:4">
      <c r="A46" s="44" t="s">
        <v>206</v>
      </c>
      <c r="B46" s="48">
        <f>(B43+(B44*B42))/B45</f>
        <v>12267.857142857143</v>
      </c>
      <c r="C46" s="42"/>
      <c r="D46" s="44"/>
    </row>
    <row r="47" spans="1:4">
      <c r="B47" s="46"/>
      <c r="C47" s="42"/>
      <c r="D47" s="44"/>
    </row>
    <row r="48" spans="1:4">
      <c r="B48" s="42"/>
    </row>
    <row r="49" spans="1:5">
      <c r="A49" s="62" t="s">
        <v>228</v>
      </c>
      <c r="B49" s="63" t="s">
        <v>3</v>
      </c>
      <c r="C49" s="64" t="s">
        <v>292</v>
      </c>
      <c r="D49" s="64" t="s">
        <v>231</v>
      </c>
      <c r="E49" s="62" t="s">
        <v>236</v>
      </c>
    </row>
    <row r="50" spans="1:5">
      <c r="A50" s="62" t="s">
        <v>229</v>
      </c>
      <c r="B50" s="65" t="s">
        <v>230</v>
      </c>
      <c r="C50" s="66">
        <f>B10</f>
        <v>13.305600000000002</v>
      </c>
      <c r="D50" s="68">
        <f>B16</f>
        <v>50000</v>
      </c>
      <c r="E50" s="68">
        <f>C50*D50</f>
        <v>665280.00000000012</v>
      </c>
    </row>
    <row r="51" spans="1:5">
      <c r="A51" s="62" t="s">
        <v>232</v>
      </c>
      <c r="B51" s="65" t="s">
        <v>233</v>
      </c>
      <c r="C51" s="66">
        <f>B23</f>
        <v>0.73919999999999997</v>
      </c>
      <c r="D51" s="68">
        <f>B27</f>
        <v>112000</v>
      </c>
      <c r="E51" s="68">
        <f t="shared" ref="E51:E53" si="0">C51*D51</f>
        <v>82790.399999999994</v>
      </c>
    </row>
    <row r="52" spans="1:5">
      <c r="A52" s="62" t="s">
        <v>234</v>
      </c>
      <c r="B52" s="65" t="s">
        <v>233</v>
      </c>
      <c r="C52" s="66">
        <f>B34</f>
        <v>1.0395000000000001</v>
      </c>
      <c r="D52" s="68">
        <f>B38</f>
        <v>140000</v>
      </c>
      <c r="E52" s="68">
        <f t="shared" si="0"/>
        <v>145530</v>
      </c>
    </row>
    <row r="53" spans="1:5">
      <c r="A53" s="62" t="s">
        <v>235</v>
      </c>
      <c r="B53" s="65" t="s">
        <v>293</v>
      </c>
      <c r="C53" s="66">
        <v>1</v>
      </c>
      <c r="D53" s="68">
        <f>B46</f>
        <v>12267.857142857143</v>
      </c>
      <c r="E53" s="68">
        <f t="shared" si="0"/>
        <v>12267.857142857143</v>
      </c>
    </row>
    <row r="54" spans="1:5">
      <c r="A54" s="62" t="s">
        <v>286</v>
      </c>
      <c r="B54" s="65"/>
      <c r="C54" s="67"/>
      <c r="D54" s="67"/>
      <c r="E54" s="68">
        <f>1.05*SUM(E50:E53)</f>
        <v>951161.67000000016</v>
      </c>
    </row>
    <row r="55" spans="1:5">
      <c r="A55" s="62" t="s">
        <v>238</v>
      </c>
      <c r="B55" s="65"/>
      <c r="C55" s="67"/>
      <c r="D55" s="67"/>
      <c r="E55" s="69">
        <f>E54*1.2</f>
        <v>1141394.0040000002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51C2-1404-4820-9938-FF178CD3886B}">
  <dimension ref="A1:E35"/>
  <sheetViews>
    <sheetView topLeftCell="A28" workbookViewId="0">
      <selection activeCell="A22" sqref="A22"/>
    </sheetView>
  </sheetViews>
  <sheetFormatPr defaultColWidth="9" defaultRowHeight="15.75"/>
  <cols>
    <col min="1" max="1" width="27.5703125" style="44" customWidth="1"/>
    <col min="2" max="2" width="13.85546875" style="44" bestFit="1" customWidth="1"/>
    <col min="3" max="4" width="9" style="44"/>
    <col min="5" max="5" width="10.28515625" style="44" customWidth="1"/>
    <col min="6" max="16384" width="9" style="44"/>
  </cols>
  <sheetData>
    <row r="1" spans="1:5">
      <c r="A1" s="41" t="s">
        <v>299</v>
      </c>
    </row>
    <row r="2" spans="1:5">
      <c r="A2" s="44" t="s">
        <v>302</v>
      </c>
      <c r="B2" s="95" t="s">
        <v>303</v>
      </c>
    </row>
    <row r="3" spans="1:5">
      <c r="A3" s="44" t="s">
        <v>300</v>
      </c>
      <c r="B3" s="93">
        <v>95855743.995054781</v>
      </c>
      <c r="E3" s="96"/>
    </row>
    <row r="4" spans="1:5">
      <c r="A4" s="44" t="s">
        <v>319</v>
      </c>
      <c r="B4" s="97">
        <v>1.5</v>
      </c>
    </row>
    <row r="5" spans="1:5">
      <c r="A5" s="44" t="s">
        <v>301</v>
      </c>
      <c r="B5" s="93">
        <v>19501898.220489632</v>
      </c>
    </row>
    <row r="7" spans="1:5">
      <c r="A7" s="41" t="s">
        <v>304</v>
      </c>
    </row>
    <row r="8" spans="1:5">
      <c r="A8" s="44" t="s">
        <v>305</v>
      </c>
      <c r="B8" s="93">
        <f>B3</f>
        <v>95855743.995054781</v>
      </c>
    </row>
    <row r="9" spans="1:5">
      <c r="A9" s="44" t="s">
        <v>306</v>
      </c>
      <c r="B9" s="94">
        <v>0.3</v>
      </c>
    </row>
    <row r="10" spans="1:5">
      <c r="A10" s="44" t="s">
        <v>307</v>
      </c>
      <c r="B10" s="93">
        <f>B9%*B8</f>
        <v>287567.23198516434</v>
      </c>
    </row>
    <row r="12" spans="1:5">
      <c r="A12" s="41" t="s">
        <v>308</v>
      </c>
    </row>
    <row r="13" spans="1:5">
      <c r="A13" s="44" t="s">
        <v>309</v>
      </c>
      <c r="B13" s="93">
        <v>1000000000</v>
      </c>
    </row>
    <row r="14" spans="1:5">
      <c r="A14" s="44" t="s">
        <v>306</v>
      </c>
      <c r="B14" s="94">
        <v>0.5</v>
      </c>
    </row>
    <row r="15" spans="1:5">
      <c r="A15" s="44" t="s">
        <v>307</v>
      </c>
      <c r="B15" s="93">
        <f>B14%*B13</f>
        <v>5000000</v>
      </c>
    </row>
    <row r="17" spans="1:2">
      <c r="A17" s="41" t="s">
        <v>310</v>
      </c>
    </row>
    <row r="18" spans="1:2">
      <c r="A18" s="44" t="s">
        <v>301</v>
      </c>
      <c r="B18" s="93">
        <f>B5</f>
        <v>19501898.220489632</v>
      </c>
    </row>
    <row r="19" spans="1:2">
      <c r="A19" s="44" t="s">
        <v>306</v>
      </c>
      <c r="B19" s="94">
        <v>0.65</v>
      </c>
    </row>
    <row r="20" spans="1:2">
      <c r="A20" s="44" t="s">
        <v>307</v>
      </c>
      <c r="B20" s="93">
        <f>B19%*B18</f>
        <v>126762.33843318262</v>
      </c>
    </row>
    <row r="22" spans="1:2">
      <c r="A22" s="41" t="s">
        <v>312</v>
      </c>
    </row>
    <row r="23" spans="1:2">
      <c r="A23" s="44" t="s">
        <v>311</v>
      </c>
      <c r="B23" s="93">
        <v>200000000</v>
      </c>
    </row>
    <row r="24" spans="1:2">
      <c r="A24" s="44" t="s">
        <v>306</v>
      </c>
      <c r="B24" s="94">
        <v>2</v>
      </c>
    </row>
    <row r="25" spans="1:2">
      <c r="A25" s="44" t="s">
        <v>307</v>
      </c>
      <c r="B25" s="93">
        <f>B24%*B23</f>
        <v>4000000</v>
      </c>
    </row>
    <row r="27" spans="1:2">
      <c r="A27" s="41" t="s">
        <v>313</v>
      </c>
    </row>
    <row r="28" spans="1:2">
      <c r="A28" s="44" t="s">
        <v>82</v>
      </c>
      <c r="B28" s="93">
        <f>B25+B20+B15+B10</f>
        <v>9414329.5704183485</v>
      </c>
    </row>
    <row r="29" spans="1:2">
      <c r="A29" s="44" t="s">
        <v>318</v>
      </c>
      <c r="B29" s="44">
        <v>35000</v>
      </c>
    </row>
    <row r="30" spans="1:2">
      <c r="A30" s="44" t="s">
        <v>316</v>
      </c>
      <c r="B30" s="93">
        <f>(B28*0.1)</f>
        <v>941432.95704183495</v>
      </c>
    </row>
    <row r="31" spans="1:2">
      <c r="A31" s="44" t="s">
        <v>314</v>
      </c>
      <c r="B31" s="93">
        <f>300000</f>
        <v>300000</v>
      </c>
    </row>
    <row r="32" spans="1:2">
      <c r="A32" s="44" t="s">
        <v>315</v>
      </c>
      <c r="B32" s="93">
        <f>SUM(B28:B31)</f>
        <v>10690762.527460184</v>
      </c>
    </row>
    <row r="33" spans="1:2">
      <c r="A33" s="44" t="s">
        <v>307</v>
      </c>
      <c r="B33" s="93">
        <f>B32*B4/12</f>
        <v>1336345.315932523</v>
      </c>
    </row>
    <row r="35" spans="1:2">
      <c r="A35" s="44" t="s">
        <v>317</v>
      </c>
      <c r="B35" s="98">
        <f>(B33/B3)*100</f>
        <v>1.3941212703971766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7931-4993-42D4-9EBA-3807258C01EE}">
  <dimension ref="A1:J48"/>
  <sheetViews>
    <sheetView workbookViewId="0">
      <selection activeCell="D9" sqref="D9"/>
    </sheetView>
  </sheetViews>
  <sheetFormatPr defaultColWidth="9" defaultRowHeight="15"/>
  <cols>
    <col min="1" max="1" width="25.5703125" style="37" bestFit="1" customWidth="1"/>
    <col min="2" max="2" width="11.140625" style="39" bestFit="1" customWidth="1"/>
    <col min="3" max="3" width="9" style="40"/>
    <col min="4" max="4" width="9.42578125" style="40" bestFit="1" customWidth="1"/>
    <col min="5" max="5" width="9.42578125" style="37" bestFit="1" customWidth="1"/>
    <col min="6" max="6" width="24.7109375" style="37" bestFit="1" customWidth="1"/>
    <col min="7" max="7" width="6.7109375" style="37" bestFit="1" customWidth="1"/>
    <col min="8" max="8" width="9" style="37"/>
    <col min="9" max="10" width="10.140625" style="37" bestFit="1" customWidth="1"/>
    <col min="11" max="16384" width="9" style="37"/>
  </cols>
  <sheetData>
    <row r="1" spans="1:10">
      <c r="A1" s="53" t="s">
        <v>211</v>
      </c>
      <c r="B1" s="54"/>
      <c r="F1" s="53"/>
      <c r="G1" s="54"/>
      <c r="H1" s="40"/>
      <c r="I1" s="40"/>
    </row>
    <row r="2" spans="1:10">
      <c r="A2" s="37" t="s">
        <v>212</v>
      </c>
      <c r="B2" s="58">
        <v>1</v>
      </c>
      <c r="C2" s="59"/>
      <c r="G2" s="54"/>
      <c r="H2" s="40"/>
      <c r="I2" s="40"/>
    </row>
    <row r="3" spans="1:10">
      <c r="A3" s="37" t="s">
        <v>213</v>
      </c>
      <c r="B3" s="58">
        <v>0.2</v>
      </c>
      <c r="C3" s="59"/>
      <c r="G3" s="55"/>
      <c r="H3" s="40"/>
      <c r="I3" s="40"/>
    </row>
    <row r="4" spans="1:10">
      <c r="A4" s="37" t="s">
        <v>1</v>
      </c>
      <c r="B4" s="58">
        <v>1</v>
      </c>
      <c r="C4" s="59">
        <v>3</v>
      </c>
      <c r="G4" s="55"/>
      <c r="H4" s="51"/>
      <c r="I4" s="51"/>
    </row>
    <row r="5" spans="1:10">
      <c r="A5" s="37" t="s">
        <v>216</v>
      </c>
      <c r="B5" s="60">
        <v>1.4999999999999999E-2</v>
      </c>
      <c r="C5" s="59"/>
      <c r="G5" s="55"/>
      <c r="H5" s="51"/>
      <c r="I5" s="51"/>
    </row>
    <row r="6" spans="1:10">
      <c r="B6" s="54"/>
      <c r="G6" s="55"/>
      <c r="H6" s="51"/>
      <c r="I6" s="51"/>
    </row>
    <row r="7" spans="1:10">
      <c r="A7" s="53" t="s">
        <v>214</v>
      </c>
      <c r="B7" s="56"/>
      <c r="C7" s="56"/>
      <c r="D7" s="56"/>
      <c r="G7" s="56"/>
      <c r="H7" s="56"/>
      <c r="I7" s="52"/>
    </row>
    <row r="8" spans="1:10" ht="15.75">
      <c r="A8" s="37" t="s">
        <v>215</v>
      </c>
      <c r="B8" s="58">
        <v>0.4</v>
      </c>
      <c r="C8" s="59">
        <v>0.2</v>
      </c>
      <c r="D8" s="59">
        <v>0.2</v>
      </c>
      <c r="F8" s="62" t="s">
        <v>228</v>
      </c>
      <c r="G8" s="63" t="s">
        <v>3</v>
      </c>
      <c r="H8" s="64" t="s">
        <v>26</v>
      </c>
      <c r="I8" s="64" t="s">
        <v>231</v>
      </c>
      <c r="J8" s="62" t="s">
        <v>236</v>
      </c>
    </row>
    <row r="9" spans="1:10" ht="15.75">
      <c r="A9" s="37" t="s">
        <v>217</v>
      </c>
      <c r="B9" s="56">
        <f>B8+$B$5</f>
        <v>0.41500000000000004</v>
      </c>
      <c r="C9" s="56">
        <f t="shared" ref="C9" si="0">C8+$B$5</f>
        <v>0.21500000000000002</v>
      </c>
      <c r="D9" s="56">
        <f>D8</f>
        <v>0.2</v>
      </c>
      <c r="F9" s="62" t="s">
        <v>239</v>
      </c>
      <c r="G9" s="70" t="s">
        <v>240</v>
      </c>
      <c r="H9" s="67">
        <f>B10</f>
        <v>11.207621182404033</v>
      </c>
      <c r="I9" s="67">
        <f>B16</f>
        <v>1500</v>
      </c>
      <c r="J9" s="68">
        <f>H9*I9</f>
        <v>16811.431773606047</v>
      </c>
    </row>
    <row r="10" spans="1:10" ht="15.75">
      <c r="A10" s="37" t="s">
        <v>218</v>
      </c>
      <c r="B10" s="54">
        <f>B2/(B9*C9)</f>
        <v>11.207621182404033</v>
      </c>
      <c r="F10" s="62" t="s">
        <v>229</v>
      </c>
      <c r="G10" s="65" t="s">
        <v>230</v>
      </c>
      <c r="H10" s="66">
        <f>B23</f>
        <v>0.15082199999999998</v>
      </c>
      <c r="I10" s="68">
        <f>B28</f>
        <v>34000</v>
      </c>
      <c r="J10" s="68">
        <f>H10*I10</f>
        <v>5127.9479999999994</v>
      </c>
    </row>
    <row r="11" spans="1:10" ht="15.75">
      <c r="A11" s="37" t="s">
        <v>219</v>
      </c>
      <c r="B11" s="58">
        <v>500</v>
      </c>
      <c r="F11" s="62" t="s">
        <v>232</v>
      </c>
      <c r="G11" s="65" t="s">
        <v>233</v>
      </c>
      <c r="H11" s="66">
        <f>B35</f>
        <v>1.9800000000000002E-2</v>
      </c>
      <c r="I11" s="68">
        <f>B39</f>
        <v>70000</v>
      </c>
      <c r="J11" s="68">
        <f t="shared" ref="J11:J12" si="1">H11*I11</f>
        <v>1386.0000000000002</v>
      </c>
    </row>
    <row r="12" spans="1:10" ht="15.75">
      <c r="A12" s="37" t="s">
        <v>153</v>
      </c>
      <c r="B12" s="58">
        <v>100000</v>
      </c>
      <c r="F12" s="62" t="s">
        <v>235</v>
      </c>
      <c r="G12" s="65"/>
      <c r="H12" s="66">
        <v>1</v>
      </c>
      <c r="I12" s="68">
        <f>B47</f>
        <v>12267.857142857143</v>
      </c>
      <c r="J12" s="68">
        <f t="shared" si="1"/>
        <v>12267.857142857143</v>
      </c>
    </row>
    <row r="13" spans="1:10" ht="15.75">
      <c r="A13" s="37" t="s">
        <v>220</v>
      </c>
      <c r="B13" s="58">
        <v>200</v>
      </c>
      <c r="F13" s="62" t="s">
        <v>237</v>
      </c>
      <c r="G13" s="65"/>
      <c r="H13" s="67"/>
      <c r="I13" s="67"/>
      <c r="J13" s="68">
        <f>1.03*SUM(J9:J12)</f>
        <v>36661.034023957087</v>
      </c>
    </row>
    <row r="14" spans="1:10" ht="15.75">
      <c r="A14" s="37" t="s">
        <v>222</v>
      </c>
      <c r="B14" s="54">
        <f>B12/B13</f>
        <v>500</v>
      </c>
      <c r="F14" s="62" t="s">
        <v>238</v>
      </c>
      <c r="G14" s="65"/>
      <c r="H14" s="67"/>
      <c r="I14" s="67"/>
      <c r="J14" s="69">
        <f>J13*1.2</f>
        <v>43993.240828748501</v>
      </c>
    </row>
    <row r="15" spans="1:10" ht="15.75">
      <c r="A15" s="37" t="s">
        <v>126</v>
      </c>
      <c r="B15" s="54">
        <v>500</v>
      </c>
      <c r="F15" s="41"/>
      <c r="G15" s="99"/>
      <c r="H15" s="43"/>
      <c r="I15" s="43"/>
      <c r="J15" s="100"/>
    </row>
    <row r="16" spans="1:10">
      <c r="A16" s="37" t="s">
        <v>221</v>
      </c>
      <c r="B16" s="54">
        <f>B11+B14+B15</f>
        <v>1500</v>
      </c>
      <c r="G16" s="54"/>
      <c r="H16" s="40"/>
      <c r="I16" s="40"/>
    </row>
    <row r="17" spans="1:9">
      <c r="A17" s="37" t="s">
        <v>223</v>
      </c>
      <c r="B17" s="57">
        <f>B16*B10</f>
        <v>16811.431773606047</v>
      </c>
      <c r="G17" s="54"/>
      <c r="H17" s="40"/>
      <c r="I17" s="40"/>
    </row>
    <row r="18" spans="1:9">
      <c r="B18" s="54"/>
      <c r="G18" s="54"/>
      <c r="H18" s="40"/>
      <c r="I18" s="40"/>
    </row>
    <row r="19" spans="1:9">
      <c r="A19" s="53" t="s">
        <v>224</v>
      </c>
      <c r="B19" s="57"/>
      <c r="G19" s="57"/>
      <c r="H19" s="40"/>
      <c r="I19" s="40"/>
    </row>
    <row r="20" spans="1:9" ht="15.75">
      <c r="A20" s="44" t="s">
        <v>188</v>
      </c>
      <c r="B20" s="49">
        <v>1440</v>
      </c>
      <c r="G20" s="54"/>
      <c r="H20" s="40"/>
      <c r="I20" s="40"/>
    </row>
    <row r="21" spans="1:9" ht="15.75">
      <c r="A21" s="44" t="s">
        <v>189</v>
      </c>
      <c r="B21" s="61">
        <f>((B4/SUM(B4:C4))*B2*B5)*1.33</f>
        <v>4.9874999999999997E-3</v>
      </c>
      <c r="F21" s="53"/>
      <c r="G21" s="54"/>
      <c r="H21" s="40"/>
      <c r="I21" s="40"/>
    </row>
    <row r="22" spans="1:9" ht="15.75">
      <c r="A22" s="44" t="s">
        <v>190</v>
      </c>
      <c r="B22" s="42">
        <f>(B21*B20)/50</f>
        <v>0.14363999999999999</v>
      </c>
      <c r="G22" s="54"/>
      <c r="H22" s="40"/>
      <c r="I22" s="40"/>
    </row>
    <row r="23" spans="1:9" ht="15.75">
      <c r="A23" s="44" t="s">
        <v>225</v>
      </c>
      <c r="B23" s="42">
        <f>B22*1.05</f>
        <v>0.15082199999999998</v>
      </c>
      <c r="G23" s="54"/>
      <c r="H23" s="40"/>
      <c r="I23" s="40"/>
    </row>
    <row r="24" spans="1:9" ht="15.75">
      <c r="A24" s="44" t="s">
        <v>39</v>
      </c>
      <c r="B24" s="49">
        <v>32000</v>
      </c>
      <c r="G24" s="55"/>
      <c r="H24" s="40"/>
      <c r="I24" s="40"/>
    </row>
    <row r="25" spans="1:9" ht="15.75">
      <c r="A25" s="44" t="s">
        <v>191</v>
      </c>
      <c r="B25" s="49">
        <v>200000</v>
      </c>
      <c r="G25" s="55"/>
      <c r="H25" s="40"/>
      <c r="I25" s="40"/>
    </row>
    <row r="26" spans="1:9" ht="15.75">
      <c r="A26" s="44" t="s">
        <v>192</v>
      </c>
      <c r="B26" s="49">
        <v>100</v>
      </c>
      <c r="G26" s="55"/>
      <c r="H26" s="40"/>
      <c r="I26" s="40"/>
    </row>
    <row r="27" spans="1:9" ht="15.75">
      <c r="A27" s="44" t="s">
        <v>31</v>
      </c>
      <c r="B27" s="42">
        <f>B25/B26</f>
        <v>2000</v>
      </c>
      <c r="G27" s="55"/>
      <c r="H27" s="40"/>
      <c r="I27" s="40"/>
    </row>
    <row r="28" spans="1:9" ht="15.75">
      <c r="A28" s="44" t="s">
        <v>167</v>
      </c>
      <c r="B28" s="42">
        <f>B27+B24</f>
        <v>34000</v>
      </c>
      <c r="G28" s="54"/>
      <c r="H28" s="40"/>
      <c r="I28" s="40"/>
    </row>
    <row r="29" spans="1:9" ht="15.75">
      <c r="A29" s="44" t="s">
        <v>176</v>
      </c>
      <c r="B29" s="45">
        <f>B28*B23</f>
        <v>5127.9479999999994</v>
      </c>
      <c r="G29" s="54"/>
      <c r="H29" s="40"/>
      <c r="I29" s="40"/>
    </row>
    <row r="30" spans="1:9">
      <c r="B30" s="54"/>
      <c r="G30" s="54"/>
      <c r="H30" s="40"/>
      <c r="I30" s="40"/>
    </row>
    <row r="31" spans="1:9" ht="15.75">
      <c r="A31" s="41" t="s">
        <v>193</v>
      </c>
      <c r="B31" s="42"/>
      <c r="G31" s="54"/>
      <c r="H31" s="40"/>
      <c r="I31" s="40"/>
    </row>
    <row r="32" spans="1:9" ht="15.75">
      <c r="A32" s="44" t="s">
        <v>42</v>
      </c>
      <c r="B32" s="49">
        <v>1600</v>
      </c>
      <c r="G32" s="57"/>
      <c r="H32" s="40"/>
      <c r="I32" s="40"/>
    </row>
    <row r="33" spans="1:9" ht="15.75">
      <c r="A33" s="44" t="s">
        <v>196</v>
      </c>
      <c r="B33" s="42">
        <f>((C4/SUM(B4:C4))*B2*B5)</f>
        <v>1.125E-2</v>
      </c>
      <c r="G33" s="54"/>
      <c r="H33" s="40"/>
      <c r="I33" s="40"/>
    </row>
    <row r="34" spans="1:9" ht="15.75">
      <c r="A34" s="44" t="s">
        <v>197</v>
      </c>
      <c r="B34" s="42">
        <f>B33*B32/1000</f>
        <v>1.7999999999999999E-2</v>
      </c>
      <c r="F34" s="53"/>
      <c r="G34" s="54"/>
      <c r="H34" s="40"/>
      <c r="I34" s="40"/>
    </row>
    <row r="35" spans="1:9" ht="15.75">
      <c r="A35" s="44" t="s">
        <v>210</v>
      </c>
      <c r="B35" s="42">
        <f>B34*1.1</f>
        <v>1.9800000000000002E-2</v>
      </c>
      <c r="G35" s="55"/>
      <c r="H35" s="40"/>
      <c r="I35" s="40"/>
    </row>
    <row r="36" spans="1:9" ht="15.75">
      <c r="A36" s="44" t="s">
        <v>40</v>
      </c>
      <c r="B36" s="49">
        <v>200000</v>
      </c>
      <c r="G36" s="55"/>
      <c r="H36" s="40"/>
      <c r="I36" s="40"/>
    </row>
    <row r="37" spans="1:9" ht="15.75">
      <c r="A37" s="44" t="s">
        <v>191</v>
      </c>
      <c r="B37" s="49">
        <v>80000</v>
      </c>
      <c r="G37" s="55"/>
      <c r="H37" s="40"/>
      <c r="I37" s="40"/>
    </row>
    <row r="38" spans="1:9" ht="15.75">
      <c r="A38" s="44" t="s">
        <v>198</v>
      </c>
      <c r="B38" s="49">
        <v>4</v>
      </c>
      <c r="G38" s="54"/>
      <c r="H38" s="40"/>
      <c r="I38" s="40"/>
    </row>
    <row r="39" spans="1:9" ht="15.75">
      <c r="A39" s="44" t="s">
        <v>199</v>
      </c>
      <c r="B39" s="42">
        <f>(B36+B37)/B38</f>
        <v>70000</v>
      </c>
      <c r="G39" s="54"/>
      <c r="H39" s="40"/>
      <c r="I39" s="40"/>
    </row>
    <row r="40" spans="1:9" ht="15.75">
      <c r="A40" s="44" t="s">
        <v>200</v>
      </c>
      <c r="B40" s="45">
        <f>B39*B35</f>
        <v>1386.0000000000002</v>
      </c>
      <c r="G40" s="54"/>
      <c r="H40" s="40"/>
      <c r="I40" s="40"/>
    </row>
    <row r="41" spans="1:9" ht="15.75">
      <c r="A41" s="44"/>
      <c r="B41" s="42"/>
      <c r="G41" s="57"/>
      <c r="H41" s="40"/>
      <c r="I41" s="40"/>
    </row>
    <row r="42" spans="1:9" ht="15.75">
      <c r="A42" s="41" t="s">
        <v>209</v>
      </c>
      <c r="B42" s="42"/>
      <c r="C42" s="37"/>
      <c r="F42" s="53"/>
      <c r="G42" s="38"/>
      <c r="I42" s="40"/>
    </row>
    <row r="43" spans="1:9" ht="15.75">
      <c r="A43" s="44" t="s">
        <v>208</v>
      </c>
      <c r="B43" s="49">
        <v>2</v>
      </c>
      <c r="C43" s="37"/>
      <c r="F43" s="53"/>
      <c r="G43" s="38"/>
      <c r="I43" s="40"/>
    </row>
    <row r="44" spans="1:9" ht="15.75">
      <c r="A44" s="44" t="s">
        <v>295</v>
      </c>
      <c r="B44" s="49">
        <f>'Built up labour rate'!F15</f>
        <v>30669.642857142859</v>
      </c>
    </row>
    <row r="45" spans="1:9" ht="15.75">
      <c r="A45" s="44" t="s">
        <v>296</v>
      </c>
      <c r="B45" s="49">
        <f>'Built up labour rate'!B15</f>
        <v>15334.821428571429</v>
      </c>
    </row>
    <row r="46" spans="1:9" ht="15.75">
      <c r="A46" s="44" t="s">
        <v>226</v>
      </c>
      <c r="B46" s="49">
        <v>5</v>
      </c>
    </row>
    <row r="47" spans="1:9" ht="15.75">
      <c r="A47" s="44" t="s">
        <v>227</v>
      </c>
      <c r="B47" s="48">
        <f>(B44+(B45*B43))/B46</f>
        <v>12267.857142857143</v>
      </c>
    </row>
    <row r="48" spans="1:9" ht="15.75">
      <c r="A48" s="44"/>
      <c r="B48" s="46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EF33-03BC-4765-83F9-99F7FFE8E531}">
  <dimension ref="A1:G27"/>
  <sheetViews>
    <sheetView topLeftCell="A4" workbookViewId="0">
      <selection activeCell="E18" sqref="E18"/>
    </sheetView>
  </sheetViews>
  <sheetFormatPr defaultColWidth="9" defaultRowHeight="15"/>
  <cols>
    <col min="1" max="1" width="19.7109375" style="37" bestFit="1" customWidth="1"/>
    <col min="2" max="2" width="9.7109375" style="37" bestFit="1" customWidth="1"/>
    <col min="3" max="4" width="9" style="37"/>
    <col min="5" max="5" width="19.7109375" style="37" bestFit="1" customWidth="1"/>
    <col min="6" max="16384" width="9" style="37"/>
  </cols>
  <sheetData>
    <row r="1" spans="1:7">
      <c r="A1" s="53" t="s">
        <v>235</v>
      </c>
    </row>
    <row r="2" spans="1:7">
      <c r="A2" s="37" t="s">
        <v>62</v>
      </c>
      <c r="B2" s="37">
        <v>8</v>
      </c>
    </row>
    <row r="3" spans="1:7">
      <c r="A3" s="37" t="s">
        <v>243</v>
      </c>
      <c r="B3" s="37">
        <v>5</v>
      </c>
    </row>
    <row r="4" spans="1:7">
      <c r="A4" s="72"/>
      <c r="B4" s="72"/>
      <c r="C4" s="72"/>
    </row>
    <row r="5" spans="1:7">
      <c r="A5" s="74" t="s">
        <v>244</v>
      </c>
      <c r="C5" s="78"/>
      <c r="E5" s="81" t="s">
        <v>256</v>
      </c>
      <c r="F5" s="76"/>
      <c r="G5" s="77"/>
    </row>
    <row r="6" spans="1:7">
      <c r="A6" s="73" t="s">
        <v>245</v>
      </c>
      <c r="B6" s="37">
        <v>15000</v>
      </c>
      <c r="C6" s="78"/>
      <c r="E6" s="73" t="s">
        <v>245</v>
      </c>
      <c r="F6" s="37">
        <v>30000</v>
      </c>
      <c r="G6" s="78"/>
    </row>
    <row r="7" spans="1:7">
      <c r="A7" s="73" t="s">
        <v>255</v>
      </c>
      <c r="B7" s="37">
        <f>B6/B2</f>
        <v>1875</v>
      </c>
      <c r="C7" s="78"/>
      <c r="E7" s="73" t="s">
        <v>255</v>
      </c>
      <c r="F7" s="37">
        <f>F6/B2</f>
        <v>3750</v>
      </c>
      <c r="G7" s="78"/>
    </row>
    <row r="8" spans="1:7">
      <c r="A8" s="73" t="s">
        <v>246</v>
      </c>
      <c r="B8" s="37">
        <f>B7*B2*B3</f>
        <v>75000</v>
      </c>
      <c r="C8" s="78"/>
      <c r="E8" s="73" t="s">
        <v>246</v>
      </c>
      <c r="F8" s="37">
        <f>F7*B2*B3</f>
        <v>150000</v>
      </c>
      <c r="G8" s="78"/>
    </row>
    <row r="9" spans="1:7">
      <c r="A9" s="73" t="s">
        <v>247</v>
      </c>
      <c r="B9" s="37">
        <v>7.5</v>
      </c>
      <c r="C9" s="78" t="s">
        <v>248</v>
      </c>
      <c r="E9" s="73" t="s">
        <v>247</v>
      </c>
      <c r="F9" s="37">
        <v>7.5</v>
      </c>
      <c r="G9" s="78" t="s">
        <v>248</v>
      </c>
    </row>
    <row r="10" spans="1:7">
      <c r="A10" s="73" t="s">
        <v>249</v>
      </c>
      <c r="B10" s="37">
        <v>2.5</v>
      </c>
      <c r="C10" s="78" t="s">
        <v>248</v>
      </c>
      <c r="E10" s="73" t="s">
        <v>249</v>
      </c>
      <c r="F10" s="37">
        <v>2.5</v>
      </c>
      <c r="G10" s="78" t="s">
        <v>248</v>
      </c>
    </row>
    <row r="11" spans="1:7">
      <c r="A11" s="73" t="s">
        <v>250</v>
      </c>
      <c r="B11" s="37">
        <v>2</v>
      </c>
      <c r="C11" s="78" t="s">
        <v>248</v>
      </c>
      <c r="E11" s="73" t="s">
        <v>250</v>
      </c>
      <c r="F11" s="37">
        <v>2</v>
      </c>
      <c r="G11" s="78" t="s">
        <v>248</v>
      </c>
    </row>
    <row r="12" spans="1:7">
      <c r="A12" s="73" t="s">
        <v>251</v>
      </c>
      <c r="B12" s="37">
        <v>0.5</v>
      </c>
      <c r="C12" s="78" t="s">
        <v>248</v>
      </c>
      <c r="E12" s="73" t="s">
        <v>251</v>
      </c>
      <c r="F12" s="37">
        <v>0.5</v>
      </c>
      <c r="G12" s="78" t="s">
        <v>248</v>
      </c>
    </row>
    <row r="13" spans="1:7">
      <c r="A13" s="73" t="s">
        <v>252</v>
      </c>
      <c r="B13" s="37">
        <f>SUM(B9:B12)/4</f>
        <v>3.125</v>
      </c>
      <c r="C13" s="78"/>
      <c r="E13" s="73" t="s">
        <v>252</v>
      </c>
      <c r="F13" s="37">
        <f>SUM(F9:F12)/4</f>
        <v>3.125</v>
      </c>
      <c r="G13" s="78"/>
    </row>
    <row r="14" spans="1:7">
      <c r="A14" s="73" t="s">
        <v>253</v>
      </c>
      <c r="B14" s="71">
        <f>B13%*B8</f>
        <v>2343.75</v>
      </c>
      <c r="C14" s="78"/>
      <c r="E14" s="73" t="s">
        <v>253</v>
      </c>
      <c r="F14" s="71">
        <f>F13%*F8</f>
        <v>4687.5</v>
      </c>
      <c r="G14" s="78"/>
    </row>
    <row r="15" spans="1:7">
      <c r="A15" s="75" t="s">
        <v>254</v>
      </c>
      <c r="B15" s="80">
        <f>B6+B14/7</f>
        <v>15334.821428571429</v>
      </c>
      <c r="C15" s="79"/>
      <c r="E15" s="75" t="s">
        <v>254</v>
      </c>
      <c r="F15" s="80">
        <f>F6+F14/7</f>
        <v>30669.642857142859</v>
      </c>
      <c r="G15" s="79"/>
    </row>
    <row r="17" spans="1:3">
      <c r="A17" s="81" t="s">
        <v>257</v>
      </c>
      <c r="B17" s="76"/>
      <c r="C17" s="77"/>
    </row>
    <row r="18" spans="1:3">
      <c r="A18" s="73" t="s">
        <v>245</v>
      </c>
      <c r="B18" s="37">
        <v>10000</v>
      </c>
      <c r="C18" s="78"/>
    </row>
    <row r="19" spans="1:3">
      <c r="A19" s="73" t="s">
        <v>255</v>
      </c>
      <c r="B19" s="37">
        <f>B18/B2</f>
        <v>1250</v>
      </c>
      <c r="C19" s="78"/>
    </row>
    <row r="20" spans="1:3">
      <c r="A20" s="73" t="s">
        <v>246</v>
      </c>
      <c r="B20" s="37">
        <f>B19*B2*B3</f>
        <v>50000</v>
      </c>
      <c r="C20" s="78"/>
    </row>
    <row r="21" spans="1:3">
      <c r="A21" s="73" t="s">
        <v>247</v>
      </c>
      <c r="B21" s="37">
        <v>7.5</v>
      </c>
      <c r="C21" s="78" t="s">
        <v>248</v>
      </c>
    </row>
    <row r="22" spans="1:3">
      <c r="A22" s="73" t="s">
        <v>249</v>
      </c>
      <c r="B22" s="37">
        <v>2.5</v>
      </c>
      <c r="C22" s="78" t="s">
        <v>248</v>
      </c>
    </row>
    <row r="23" spans="1:3">
      <c r="A23" s="73" t="s">
        <v>250</v>
      </c>
      <c r="B23" s="37">
        <v>2</v>
      </c>
      <c r="C23" s="78" t="s">
        <v>248</v>
      </c>
    </row>
    <row r="24" spans="1:3">
      <c r="A24" s="73" t="s">
        <v>251</v>
      </c>
      <c r="B24" s="37">
        <v>0.5</v>
      </c>
      <c r="C24" s="78" t="s">
        <v>248</v>
      </c>
    </row>
    <row r="25" spans="1:3">
      <c r="A25" s="73" t="s">
        <v>252</v>
      </c>
      <c r="B25" s="37">
        <f>SUM(B21:B24)/4</f>
        <v>3.125</v>
      </c>
      <c r="C25" s="78"/>
    </row>
    <row r="26" spans="1:3">
      <c r="A26" s="73" t="s">
        <v>253</v>
      </c>
      <c r="B26" s="71">
        <f>B25%*B20</f>
        <v>1562.5</v>
      </c>
      <c r="C26" s="78"/>
    </row>
    <row r="27" spans="1:3">
      <c r="A27" s="75" t="s">
        <v>254</v>
      </c>
      <c r="B27" s="80">
        <f>B18+B26/7</f>
        <v>10223.214285714286</v>
      </c>
      <c r="C27" s="79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2782-893F-4DCD-A4EA-FA377DA916D1}">
  <dimension ref="A1:I56"/>
  <sheetViews>
    <sheetView tabSelected="1" workbookViewId="0">
      <selection activeCell="E2" sqref="E2"/>
    </sheetView>
  </sheetViews>
  <sheetFormatPr defaultColWidth="9" defaultRowHeight="15"/>
  <cols>
    <col min="1" max="1" width="27" style="37" bestFit="1" customWidth="1"/>
    <col min="2" max="2" width="9.28515625" style="37" bestFit="1" customWidth="1"/>
    <col min="3" max="3" width="9" style="37"/>
    <col min="4" max="4" width="24.7109375" style="37" bestFit="1" customWidth="1"/>
    <col min="5" max="5" width="6.7109375" style="37" bestFit="1" customWidth="1"/>
    <col min="6" max="6" width="9.140625" style="37" bestFit="1" customWidth="1"/>
    <col min="7" max="8" width="10.42578125" style="37" bestFit="1" customWidth="1"/>
    <col min="9" max="9" width="9.28515625" style="37" bestFit="1" customWidth="1"/>
    <col min="10" max="16384" width="9" style="37"/>
  </cols>
  <sheetData>
    <row r="1" spans="1:9">
      <c r="A1" s="53" t="s">
        <v>258</v>
      </c>
    </row>
    <row r="2" spans="1:9">
      <c r="A2" s="37" t="s">
        <v>187</v>
      </c>
      <c r="B2" s="37">
        <v>1</v>
      </c>
      <c r="C2" s="37">
        <v>3</v>
      </c>
      <c r="D2" s="37">
        <v>6</v>
      </c>
    </row>
    <row r="5" spans="1:9">
      <c r="A5" s="53" t="s">
        <v>168</v>
      </c>
    </row>
    <row r="6" spans="1:9" ht="15.75">
      <c r="A6" s="37" t="s">
        <v>28</v>
      </c>
      <c r="B6" s="71">
        <v>100000</v>
      </c>
      <c r="D6" s="62" t="s">
        <v>228</v>
      </c>
      <c r="E6" s="63" t="s">
        <v>3</v>
      </c>
      <c r="F6" s="64" t="s">
        <v>26</v>
      </c>
      <c r="G6" s="64" t="s">
        <v>231</v>
      </c>
      <c r="H6" s="62" t="s">
        <v>236</v>
      </c>
    </row>
    <row r="7" spans="1:9" ht="15.75">
      <c r="A7" s="37" t="s">
        <v>220</v>
      </c>
      <c r="B7" s="37">
        <v>100</v>
      </c>
      <c r="D7" s="62" t="s">
        <v>229</v>
      </c>
      <c r="E7" s="65" t="s">
        <v>230</v>
      </c>
      <c r="F7" s="66">
        <f>1.05*(B11*1.54/SUM(B2:D2))</f>
        <v>4.6569600000000007</v>
      </c>
      <c r="G7" s="68">
        <f>B13</f>
        <v>49000</v>
      </c>
      <c r="H7" s="68">
        <f>F7*G7</f>
        <v>228191.04000000004</v>
      </c>
    </row>
    <row r="8" spans="1:9" ht="15.75">
      <c r="A8" s="37" t="s">
        <v>31</v>
      </c>
      <c r="B8" s="37">
        <f>B6/B7</f>
        <v>1000</v>
      </c>
      <c r="D8" s="62" t="s">
        <v>232</v>
      </c>
      <c r="E8" s="65" t="s">
        <v>233</v>
      </c>
      <c r="F8" s="66">
        <f>1.05*(1.54*C2/SUM(B2:D2))</f>
        <v>0.48510000000000003</v>
      </c>
      <c r="G8" s="68">
        <f>B22</f>
        <v>149333.33333333334</v>
      </c>
      <c r="H8" s="68">
        <f t="shared" ref="H8:H9" si="0">F8*G8</f>
        <v>72441.600000000006</v>
      </c>
    </row>
    <row r="9" spans="1:9" ht="15.75">
      <c r="A9" s="37" t="s">
        <v>259</v>
      </c>
      <c r="B9" s="37">
        <v>1000</v>
      </c>
      <c r="D9" s="62" t="s">
        <v>234</v>
      </c>
      <c r="E9" s="65" t="s">
        <v>233</v>
      </c>
      <c r="F9" s="66">
        <f>1.05*(1.54*D2/SUM(B2:D2))</f>
        <v>0.97020000000000006</v>
      </c>
      <c r="G9" s="68">
        <f>B31</f>
        <v>131250</v>
      </c>
      <c r="H9" s="68">
        <f t="shared" si="0"/>
        <v>127338.75000000001</v>
      </c>
    </row>
    <row r="10" spans="1:9" ht="15.75">
      <c r="A10" s="37" t="s">
        <v>260</v>
      </c>
      <c r="B10" s="37">
        <v>1440</v>
      </c>
      <c r="D10" s="62" t="s">
        <v>235</v>
      </c>
      <c r="E10" s="65"/>
      <c r="F10" s="66">
        <v>1</v>
      </c>
      <c r="G10" s="68">
        <f>B51</f>
        <v>12267.857142857143</v>
      </c>
      <c r="H10" s="68">
        <f>F10*G10</f>
        <v>12267.857142857143</v>
      </c>
      <c r="I10" s="86"/>
    </row>
    <row r="11" spans="1:9" ht="15.75">
      <c r="A11" s="37" t="s">
        <v>261</v>
      </c>
      <c r="B11" s="37">
        <f>B10/50</f>
        <v>28.8</v>
      </c>
      <c r="D11" s="62" t="s">
        <v>286</v>
      </c>
      <c r="E11" s="65"/>
      <c r="F11" s="67"/>
      <c r="G11" s="67"/>
      <c r="H11" s="68">
        <f>1.05*SUM(H7:H10)</f>
        <v>462251.20950000006</v>
      </c>
    </row>
    <row r="12" spans="1:9" ht="15.75">
      <c r="A12" s="37" t="s">
        <v>262</v>
      </c>
      <c r="B12" s="37">
        <v>47000</v>
      </c>
      <c r="D12" s="62" t="s">
        <v>238</v>
      </c>
      <c r="E12" s="65"/>
      <c r="F12" s="67"/>
      <c r="G12" s="67"/>
      <c r="H12" s="69">
        <f>H11*1.2</f>
        <v>554701.45140000002</v>
      </c>
    </row>
    <row r="13" spans="1:9">
      <c r="A13" s="37" t="s">
        <v>167</v>
      </c>
      <c r="B13" s="37">
        <f>B12+B8+B9</f>
        <v>49000</v>
      </c>
    </row>
    <row r="14" spans="1:9">
      <c r="A14" s="37" t="s">
        <v>263</v>
      </c>
      <c r="B14" s="82">
        <f>B13*B11</f>
        <v>1411200</v>
      </c>
    </row>
    <row r="16" spans="1:9">
      <c r="A16" s="53" t="s">
        <v>232</v>
      </c>
    </row>
    <row r="17" spans="1:2">
      <c r="A17" s="37" t="s">
        <v>28</v>
      </c>
      <c r="B17" s="84">
        <v>80000</v>
      </c>
    </row>
    <row r="18" spans="1:2">
      <c r="A18" s="37" t="s">
        <v>268</v>
      </c>
      <c r="B18" s="37">
        <v>3</v>
      </c>
    </row>
    <row r="19" spans="1:2">
      <c r="A19" s="37" t="s">
        <v>269</v>
      </c>
      <c r="B19" s="37">
        <f>((B18*1000)/B20)</f>
        <v>1.875</v>
      </c>
    </row>
    <row r="20" spans="1:2">
      <c r="A20" s="37" t="s">
        <v>264</v>
      </c>
      <c r="B20" s="37">
        <v>1600</v>
      </c>
    </row>
    <row r="21" spans="1:2">
      <c r="A21" s="37" t="s">
        <v>266</v>
      </c>
      <c r="B21" s="71">
        <v>200000</v>
      </c>
    </row>
    <row r="22" spans="1:2">
      <c r="A22" s="37" t="s">
        <v>267</v>
      </c>
      <c r="B22" s="82">
        <f>(B21+B17)/B19</f>
        <v>149333.33333333334</v>
      </c>
    </row>
    <row r="24" spans="1:2">
      <c r="A24" s="53" t="s">
        <v>234</v>
      </c>
    </row>
    <row r="25" spans="1:2">
      <c r="A25" s="37" t="s">
        <v>28</v>
      </c>
      <c r="B25" s="71">
        <v>100000</v>
      </c>
    </row>
    <row r="26" spans="1:2">
      <c r="A26" s="37" t="s">
        <v>268</v>
      </c>
      <c r="B26" s="37">
        <v>4</v>
      </c>
    </row>
    <row r="27" spans="1:2">
      <c r="A27" s="37" t="s">
        <v>269</v>
      </c>
      <c r="B27" s="37">
        <f>((B26*1000)/B28)</f>
        <v>2.6666666666666665</v>
      </c>
    </row>
    <row r="28" spans="1:2">
      <c r="A28" s="37" t="s">
        <v>264</v>
      </c>
      <c r="B28" s="37">
        <v>1500</v>
      </c>
    </row>
    <row r="29" spans="1:2">
      <c r="A29" s="37" t="s">
        <v>265</v>
      </c>
      <c r="B29" s="37">
        <f>1</f>
        <v>1</v>
      </c>
    </row>
    <row r="30" spans="1:2">
      <c r="A30" s="37" t="s">
        <v>266</v>
      </c>
      <c r="B30" s="71">
        <v>250000</v>
      </c>
    </row>
    <row r="31" spans="1:2">
      <c r="A31" s="37" t="s">
        <v>267</v>
      </c>
      <c r="B31" s="82">
        <f>(B30+B25)/B27</f>
        <v>131250</v>
      </c>
    </row>
    <row r="33" spans="1:2">
      <c r="A33" s="37" t="s">
        <v>270</v>
      </c>
      <c r="B33" s="71">
        <f>(B14*B2)+(B22*C2)+(B31*D2)</f>
        <v>2646700</v>
      </c>
    </row>
    <row r="34" spans="1:2">
      <c r="A34" s="37" t="s">
        <v>271</v>
      </c>
      <c r="B34" s="83">
        <f>B33/SUM(B2:D2)</f>
        <v>264670</v>
      </c>
    </row>
    <row r="35" spans="1:2">
      <c r="A35" s="37" t="s">
        <v>272</v>
      </c>
      <c r="B35" s="71">
        <f>B34*1.54</f>
        <v>407591.8</v>
      </c>
    </row>
    <row r="36" spans="1:2">
      <c r="A36" s="37" t="s">
        <v>273</v>
      </c>
      <c r="B36" s="71">
        <f>B35*1.05</f>
        <v>427971.39</v>
      </c>
    </row>
    <row r="38" spans="1:2">
      <c r="A38" s="53" t="s">
        <v>274</v>
      </c>
    </row>
    <row r="39" spans="1:2">
      <c r="A39" s="37" t="s">
        <v>276</v>
      </c>
      <c r="B39" s="37">
        <v>0</v>
      </c>
    </row>
    <row r="40" spans="1:2">
      <c r="A40" s="37" t="s">
        <v>279</v>
      </c>
      <c r="B40" s="37">
        <v>0</v>
      </c>
    </row>
    <row r="41" spans="1:2">
      <c r="A41" s="37" t="s">
        <v>280</v>
      </c>
      <c r="B41" s="37">
        <v>0</v>
      </c>
    </row>
    <row r="42" spans="1:2">
      <c r="A42" s="37" t="s">
        <v>281</v>
      </c>
      <c r="B42" s="37">
        <v>0</v>
      </c>
    </row>
    <row r="43" spans="1:2">
      <c r="A43" s="37" t="s">
        <v>275</v>
      </c>
      <c r="B43" s="37">
        <f>SUM(B39:B42)</f>
        <v>0</v>
      </c>
    </row>
    <row r="45" spans="1:2">
      <c r="A45" s="53" t="s">
        <v>235</v>
      </c>
    </row>
    <row r="46" spans="1:2">
      <c r="A46" s="37" t="s">
        <v>277</v>
      </c>
      <c r="B46" s="37">
        <v>2</v>
      </c>
    </row>
    <row r="47" spans="1:2">
      <c r="A47" s="37" t="s">
        <v>278</v>
      </c>
      <c r="B47" s="37">
        <v>1</v>
      </c>
    </row>
    <row r="48" spans="1:2">
      <c r="A48" s="37" t="s">
        <v>256</v>
      </c>
      <c r="B48" s="87">
        <f>'Built up labour rate'!F15</f>
        <v>30669.642857142859</v>
      </c>
    </row>
    <row r="49" spans="1:2">
      <c r="A49" s="37" t="s">
        <v>285</v>
      </c>
      <c r="B49" s="37">
        <f>'Built up labour rate'!B15</f>
        <v>15334.821428571429</v>
      </c>
    </row>
    <row r="50" spans="1:2">
      <c r="A50" s="37" t="s">
        <v>207</v>
      </c>
      <c r="B50" s="37">
        <v>5</v>
      </c>
    </row>
    <row r="51" spans="1:2">
      <c r="A51" s="37" t="s">
        <v>206</v>
      </c>
      <c r="B51" s="37">
        <f>((B46*B49)+(B47*B48))/B50</f>
        <v>12267.857142857143</v>
      </c>
    </row>
    <row r="53" spans="1:2">
      <c r="A53" s="37" t="s">
        <v>282</v>
      </c>
      <c r="B53" s="71">
        <f>B36+B43+B51</f>
        <v>440239.24714285717</v>
      </c>
    </row>
    <row r="54" spans="1:2">
      <c r="A54" s="37" t="s">
        <v>284</v>
      </c>
      <c r="B54" s="71">
        <f>B53*1.05</f>
        <v>462251.20950000006</v>
      </c>
    </row>
    <row r="55" spans="1:2" ht="15.75" thickBot="1">
      <c r="A55" s="37" t="s">
        <v>283</v>
      </c>
      <c r="B55" s="85">
        <f>B54*1.2</f>
        <v>554701.45140000002</v>
      </c>
    </row>
    <row r="56" spans="1:2" ht="15.75" thickTop="1"/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EC69-AA17-4A21-B3DA-89B026DB0A33}">
  <dimension ref="A1:B5"/>
  <sheetViews>
    <sheetView workbookViewId="0"/>
  </sheetViews>
  <sheetFormatPr defaultColWidth="9" defaultRowHeight="15"/>
  <cols>
    <col min="1" max="1" width="30.7109375" style="2" bestFit="1" customWidth="1"/>
    <col min="2" max="16384" width="9" style="2"/>
  </cols>
  <sheetData>
    <row r="1" spans="1:2">
      <c r="A1" s="2" t="s">
        <v>123</v>
      </c>
      <c r="B1" s="2">
        <f>31600*3</f>
        <v>94800</v>
      </c>
    </row>
    <row r="2" spans="1:2">
      <c r="A2" s="2" t="s">
        <v>120</v>
      </c>
      <c r="B2" s="2">
        <v>10</v>
      </c>
    </row>
    <row r="3" spans="1:2">
      <c r="A3" s="2" t="s">
        <v>121</v>
      </c>
      <c r="B3" s="2">
        <f>B1/B2</f>
        <v>9480</v>
      </c>
    </row>
    <row r="5" spans="1:2">
      <c r="A5" s="2" t="s">
        <v>122</v>
      </c>
      <c r="B5" s="2">
        <v>9000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1FC1-CC1B-4B61-90BA-20BD606B0CB0}">
  <dimension ref="A1:D17"/>
  <sheetViews>
    <sheetView workbookViewId="0">
      <selection activeCell="B15" sqref="B15"/>
    </sheetView>
  </sheetViews>
  <sheetFormatPr defaultColWidth="9" defaultRowHeight="15"/>
  <cols>
    <col min="1" max="1" width="40.42578125" style="2" bestFit="1" customWidth="1"/>
    <col min="2" max="2" width="9.5703125" style="3" bestFit="1" customWidth="1"/>
    <col min="3" max="3" width="11.85546875" style="2" customWidth="1"/>
    <col min="4" max="4" width="10.42578125" style="2" customWidth="1"/>
    <col min="5" max="5" width="3.5703125" style="2" customWidth="1"/>
    <col min="6" max="16384" width="9" style="2"/>
  </cols>
  <sheetData>
    <row r="1" spans="1:4">
      <c r="A1" s="21" t="s">
        <v>89</v>
      </c>
      <c r="B1" s="22">
        <v>180000</v>
      </c>
      <c r="C1" s="21"/>
      <c r="D1" s="21"/>
    </row>
    <row r="2" spans="1:4">
      <c r="A2" s="21" t="s">
        <v>88</v>
      </c>
      <c r="B2" s="23">
        <v>200</v>
      </c>
      <c r="C2" s="21"/>
      <c r="D2" s="21"/>
    </row>
    <row r="3" spans="1:4">
      <c r="A3" s="21" t="s">
        <v>83</v>
      </c>
      <c r="B3" s="24">
        <v>0.08</v>
      </c>
      <c r="C3" s="21" t="s">
        <v>87</v>
      </c>
      <c r="D3" s="21"/>
    </row>
    <row r="4" spans="1:4">
      <c r="A4" s="21" t="s">
        <v>84</v>
      </c>
      <c r="B4" s="24">
        <v>96</v>
      </c>
      <c r="C4" s="21"/>
      <c r="D4" s="21"/>
    </row>
    <row r="5" spans="1:4">
      <c r="A5" s="21" t="s">
        <v>91</v>
      </c>
      <c r="B5" s="25">
        <f>(B3/B4)*1000</f>
        <v>0.83333333333333337</v>
      </c>
      <c r="C5" s="21" t="s">
        <v>92</v>
      </c>
      <c r="D5" s="21"/>
    </row>
    <row r="6" spans="1:4">
      <c r="A6" s="21" t="s">
        <v>80</v>
      </c>
      <c r="B6" s="24">
        <v>5</v>
      </c>
      <c r="C6" s="21"/>
      <c r="D6" s="21"/>
    </row>
    <row r="7" spans="1:4">
      <c r="A7" s="21" t="s">
        <v>90</v>
      </c>
      <c r="B7" s="24">
        <f>B5*B6</f>
        <v>4.166666666666667</v>
      </c>
      <c r="C7" s="21"/>
      <c r="D7" s="21"/>
    </row>
    <row r="8" spans="1:4">
      <c r="A8" s="88" t="s">
        <v>81</v>
      </c>
      <c r="B8" s="89">
        <f>((B1/200)*B7)</f>
        <v>3750.0000000000005</v>
      </c>
      <c r="C8" s="88"/>
      <c r="D8" s="88"/>
    </row>
    <row r="9" spans="1:4">
      <c r="A9" s="21"/>
      <c r="B9" s="26"/>
      <c r="C9" s="21"/>
      <c r="D9" s="21"/>
    </row>
    <row r="10" spans="1:4">
      <c r="B10" s="90"/>
    </row>
    <row r="11" spans="1:4">
      <c r="B11" s="90"/>
    </row>
    <row r="12" spans="1:4">
      <c r="B12" s="90"/>
    </row>
    <row r="13" spans="1:4">
      <c r="B13" s="90"/>
    </row>
    <row r="14" spans="1:4">
      <c r="B14" s="90"/>
    </row>
    <row r="15" spans="1:4">
      <c r="B15" s="90"/>
    </row>
    <row r="17" spans="2:2">
      <c r="B17" s="91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A620-BE9B-42F1-ABD0-AB02BDFB47A0}">
  <dimension ref="A1:D20"/>
  <sheetViews>
    <sheetView workbookViewId="0">
      <selection activeCell="A17" sqref="A17"/>
    </sheetView>
  </sheetViews>
  <sheetFormatPr defaultColWidth="9" defaultRowHeight="15"/>
  <cols>
    <col min="1" max="1" width="25.5703125" style="2" bestFit="1" customWidth="1"/>
    <col min="2" max="2" width="11.140625" style="12" bestFit="1" customWidth="1"/>
    <col min="3" max="3" width="11.42578125" style="3" customWidth="1"/>
    <col min="4" max="4" width="9" style="3"/>
    <col min="5" max="5" width="11.42578125" style="2" bestFit="1" customWidth="1"/>
    <col min="6" max="16384" width="9" style="2"/>
  </cols>
  <sheetData>
    <row r="1" spans="1:4">
      <c r="A1" s="2" t="s">
        <v>3</v>
      </c>
      <c r="B1" s="12" t="s">
        <v>94</v>
      </c>
    </row>
    <row r="2" spans="1:4">
      <c r="A2" s="2" t="s">
        <v>77</v>
      </c>
      <c r="B2" s="13">
        <v>100</v>
      </c>
      <c r="C2" s="14">
        <v>50</v>
      </c>
      <c r="D2" s="14" t="s">
        <v>93</v>
      </c>
    </row>
    <row r="3" spans="1:4">
      <c r="A3" s="2" t="s">
        <v>26</v>
      </c>
      <c r="B3" s="13">
        <v>1</v>
      </c>
    </row>
    <row r="5" spans="1:4">
      <c r="A5" s="2" t="s">
        <v>95</v>
      </c>
      <c r="B5" s="13">
        <v>15000</v>
      </c>
    </row>
    <row r="6" spans="1:4">
      <c r="A6" s="2" t="s">
        <v>96</v>
      </c>
      <c r="B6" s="13">
        <v>3.6</v>
      </c>
    </row>
    <row r="7" spans="1:4">
      <c r="A7" s="2" t="s">
        <v>81</v>
      </c>
      <c r="B7" s="15">
        <f>B5/B6</f>
        <v>4166.666666666667</v>
      </c>
    </row>
    <row r="9" spans="1:4">
      <c r="A9" s="1" t="s">
        <v>4</v>
      </c>
    </row>
    <row r="10" spans="1:4">
      <c r="A10" s="2" t="s">
        <v>48</v>
      </c>
      <c r="B10" s="13">
        <v>30000</v>
      </c>
    </row>
    <row r="11" spans="1:4">
      <c r="A11" s="2" t="s">
        <v>49</v>
      </c>
      <c r="B11" s="13">
        <v>10000</v>
      </c>
    </row>
    <row r="12" spans="1:4">
      <c r="A12" s="2" t="s">
        <v>51</v>
      </c>
      <c r="B12" s="13">
        <v>1</v>
      </c>
    </row>
    <row r="13" spans="1:4">
      <c r="A13" s="2" t="s">
        <v>50</v>
      </c>
      <c r="B13" s="13">
        <v>2</v>
      </c>
    </row>
    <row r="14" spans="1:4">
      <c r="A14" s="2" t="s">
        <v>53</v>
      </c>
      <c r="B14" s="13">
        <v>5</v>
      </c>
    </row>
    <row r="15" spans="1:4">
      <c r="A15" s="2" t="s">
        <v>52</v>
      </c>
      <c r="B15" s="15">
        <f>((B10*B12)+(B11*B13))/B14</f>
        <v>10000</v>
      </c>
    </row>
    <row r="16" spans="1:4">
      <c r="B16" s="15"/>
    </row>
    <row r="17" spans="1:4">
      <c r="A17" s="5" t="s">
        <v>23</v>
      </c>
      <c r="B17" s="7">
        <f>B7+B15</f>
        <v>14166.666666666668</v>
      </c>
      <c r="D17" s="2"/>
    </row>
    <row r="18" spans="1:4">
      <c r="A18" s="5" t="s">
        <v>6</v>
      </c>
      <c r="B18" s="6">
        <f>B17*1.03</f>
        <v>14591.666666666668</v>
      </c>
      <c r="D18" s="2"/>
    </row>
    <row r="19" spans="1:4">
      <c r="A19" s="5" t="s">
        <v>7</v>
      </c>
      <c r="B19" s="6">
        <f>B18*1.1</f>
        <v>16050.833333333336</v>
      </c>
      <c r="D19" s="2"/>
    </row>
    <row r="20" spans="1:4">
      <c r="A20" s="5" t="s">
        <v>61</v>
      </c>
      <c r="B20" s="7">
        <f>B19*1.15</f>
        <v>18458.458333333336</v>
      </c>
      <c r="D20" s="2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B130-AAD9-4FC6-AFF4-1C8584CCF060}">
  <dimension ref="A1:E49"/>
  <sheetViews>
    <sheetView workbookViewId="0">
      <selection activeCell="B14" sqref="B14"/>
    </sheetView>
  </sheetViews>
  <sheetFormatPr defaultColWidth="9" defaultRowHeight="15"/>
  <cols>
    <col min="1" max="1" width="25.5703125" style="2" bestFit="1" customWidth="1"/>
    <col min="2" max="2" width="11.140625" style="12" bestFit="1" customWidth="1"/>
    <col min="3" max="3" width="11.42578125" style="3" customWidth="1"/>
    <col min="4" max="4" width="9" style="3"/>
    <col min="5" max="5" width="11.42578125" style="2" bestFit="1" customWidth="1"/>
    <col min="6" max="16384" width="9" style="2"/>
  </cols>
  <sheetData>
    <row r="1" spans="1:5">
      <c r="A1" s="1" t="s">
        <v>0</v>
      </c>
    </row>
    <row r="2" spans="1:5">
      <c r="A2" s="2" t="s">
        <v>3</v>
      </c>
      <c r="B2" s="12" t="s">
        <v>9</v>
      </c>
    </row>
    <row r="3" spans="1:5">
      <c r="A3" s="2" t="s">
        <v>25</v>
      </c>
      <c r="B3" s="13">
        <v>1</v>
      </c>
      <c r="C3" s="14">
        <v>1</v>
      </c>
      <c r="D3" s="14">
        <v>6</v>
      </c>
    </row>
    <row r="4" spans="1:5">
      <c r="A4" s="2" t="s">
        <v>26</v>
      </c>
      <c r="B4" s="13">
        <v>1</v>
      </c>
    </row>
    <row r="6" spans="1:5">
      <c r="A6" s="1" t="s">
        <v>36</v>
      </c>
    </row>
    <row r="7" spans="1:5">
      <c r="A7" s="2" t="s">
        <v>39</v>
      </c>
      <c r="B7" s="13">
        <v>36000</v>
      </c>
    </row>
    <row r="8" spans="1:5">
      <c r="A8" s="2" t="s">
        <v>35</v>
      </c>
      <c r="B8" s="13">
        <v>1600</v>
      </c>
    </row>
    <row r="9" spans="1:5">
      <c r="A9" s="2" t="s">
        <v>28</v>
      </c>
      <c r="B9" s="13">
        <v>0</v>
      </c>
    </row>
    <row r="10" spans="1:5">
      <c r="A10" s="2" t="s">
        <v>29</v>
      </c>
      <c r="B10" s="13">
        <v>30</v>
      </c>
    </row>
    <row r="11" spans="1:5">
      <c r="A11" s="2" t="s">
        <v>31</v>
      </c>
      <c r="B11" s="12">
        <f>B9/B10</f>
        <v>0</v>
      </c>
    </row>
    <row r="12" spans="1:5">
      <c r="A12" s="2" t="s">
        <v>32</v>
      </c>
      <c r="B12" s="12">
        <f>B7+B11</f>
        <v>36000</v>
      </c>
    </row>
    <row r="13" spans="1:5">
      <c r="A13" s="2" t="s">
        <v>106</v>
      </c>
      <c r="B13" s="12">
        <f>(B3/SUM(B3:D3))*B4*1.5</f>
        <v>0.1875</v>
      </c>
    </row>
    <row r="14" spans="1:5">
      <c r="A14" s="2" t="s">
        <v>34</v>
      </c>
      <c r="B14" s="12">
        <f>($B$13*$B$8/50)</f>
        <v>6</v>
      </c>
    </row>
    <row r="15" spans="1:5">
      <c r="A15" s="2" t="s">
        <v>37</v>
      </c>
      <c r="B15" s="15">
        <f>$B$14*$B$7</f>
        <v>216000</v>
      </c>
      <c r="E15" s="20">
        <f>B15+B24+B33</f>
        <v>444000.125</v>
      </c>
    </row>
    <row r="17" spans="1:3">
      <c r="A17" s="1" t="s">
        <v>38</v>
      </c>
    </row>
    <row r="18" spans="1:3">
      <c r="A18" s="2" t="s">
        <v>75</v>
      </c>
      <c r="B18" s="13">
        <v>380000</v>
      </c>
      <c r="C18" s="3" t="s">
        <v>85</v>
      </c>
    </row>
    <row r="19" spans="1:3">
      <c r="A19" s="2" t="s">
        <v>42</v>
      </c>
      <c r="B19" s="13">
        <v>1600</v>
      </c>
    </row>
    <row r="20" spans="1:3">
      <c r="A20" s="2" t="s">
        <v>44</v>
      </c>
      <c r="B20" s="13">
        <v>2</v>
      </c>
    </row>
    <row r="21" spans="1:3">
      <c r="A21" s="2" t="s">
        <v>45</v>
      </c>
      <c r="B21" s="12">
        <f>(B18/B20)</f>
        <v>190000</v>
      </c>
    </row>
    <row r="22" spans="1:3">
      <c r="A22" s="2" t="s">
        <v>33</v>
      </c>
      <c r="B22" s="12">
        <f>(D3/SUM(B3:D3))*B4</f>
        <v>0.75</v>
      </c>
    </row>
    <row r="23" spans="1:3">
      <c r="A23" s="2" t="s">
        <v>43</v>
      </c>
      <c r="B23" s="12">
        <f>B22*B19/1000</f>
        <v>1.2</v>
      </c>
    </row>
    <row r="24" spans="1:3">
      <c r="A24" s="2" t="s">
        <v>46</v>
      </c>
      <c r="B24" s="15">
        <f>B23*B21</f>
        <v>228000</v>
      </c>
    </row>
    <row r="26" spans="1:3">
      <c r="A26" s="1" t="s">
        <v>107</v>
      </c>
    </row>
    <row r="27" spans="1:3">
      <c r="A27" s="2" t="s">
        <v>108</v>
      </c>
      <c r="B27" s="13">
        <v>27000</v>
      </c>
    </row>
    <row r="28" spans="1:3">
      <c r="A28" s="2" t="s">
        <v>35</v>
      </c>
      <c r="B28" s="13">
        <v>2300</v>
      </c>
    </row>
    <row r="29" spans="1:3">
      <c r="A29" s="2" t="s">
        <v>28</v>
      </c>
      <c r="B29" s="13">
        <v>100000</v>
      </c>
    </row>
    <row r="30" spans="1:3">
      <c r="A30" s="2" t="s">
        <v>29</v>
      </c>
      <c r="B30" s="13">
        <v>30</v>
      </c>
    </row>
    <row r="31" spans="1:3">
      <c r="A31" s="2" t="s">
        <v>31</v>
      </c>
      <c r="B31" s="12">
        <f>B29/B30</f>
        <v>3333.3333333333335</v>
      </c>
    </row>
    <row r="32" spans="1:3">
      <c r="A32" s="2" t="s">
        <v>32</v>
      </c>
      <c r="B32" s="12">
        <f>B27+B31</f>
        <v>30333.333333333332</v>
      </c>
    </row>
    <row r="33" spans="1:5">
      <c r="A33" s="2" t="s">
        <v>33</v>
      </c>
      <c r="B33" s="12">
        <f>(B3/SUM(B3:D3))*B4</f>
        <v>0.125</v>
      </c>
    </row>
    <row r="34" spans="1:5">
      <c r="A34" s="2" t="s">
        <v>34</v>
      </c>
      <c r="B34" s="12">
        <f>($B$13*$B$8/50)</f>
        <v>6</v>
      </c>
    </row>
    <row r="35" spans="1:5">
      <c r="A35" s="2" t="s">
        <v>37</v>
      </c>
      <c r="B35" s="15">
        <f>$B$34*$B$27</f>
        <v>162000</v>
      </c>
      <c r="E35" s="20">
        <f>B35+B42+B51</f>
        <v>162001</v>
      </c>
    </row>
    <row r="38" spans="1:5">
      <c r="A38" s="1" t="s">
        <v>4</v>
      </c>
    </row>
    <row r="39" spans="1:5">
      <c r="A39" s="2" t="s">
        <v>48</v>
      </c>
      <c r="B39" s="13">
        <v>30000</v>
      </c>
    </row>
    <row r="40" spans="1:5">
      <c r="A40" s="2" t="s">
        <v>49</v>
      </c>
      <c r="B40" s="13">
        <v>10000</v>
      </c>
    </row>
    <row r="41" spans="1:5">
      <c r="A41" s="2" t="s">
        <v>51</v>
      </c>
      <c r="B41" s="13">
        <v>1</v>
      </c>
    </row>
    <row r="42" spans="1:5">
      <c r="A42" s="2" t="s">
        <v>50</v>
      </c>
      <c r="B42" s="13">
        <v>1</v>
      </c>
    </row>
    <row r="43" spans="1:5">
      <c r="A43" s="2" t="s">
        <v>53</v>
      </c>
      <c r="B43" s="13">
        <v>5</v>
      </c>
    </row>
    <row r="44" spans="1:5">
      <c r="A44" s="2" t="s">
        <v>52</v>
      </c>
      <c r="B44" s="15">
        <f>((B39*B41)+(B40*B42))/B43</f>
        <v>8000</v>
      </c>
      <c r="D44" s="27">
        <f>B44*0.02*0.2</f>
        <v>32</v>
      </c>
    </row>
    <row r="46" spans="1:5">
      <c r="A46" s="5" t="s">
        <v>23</v>
      </c>
      <c r="B46" s="7">
        <f>B15+B24+B35+B44</f>
        <v>614000</v>
      </c>
      <c r="C46" s="3">
        <f>B46-8000</f>
        <v>606000</v>
      </c>
      <c r="D46" s="2"/>
    </row>
    <row r="47" spans="1:5">
      <c r="A47" s="5" t="s">
        <v>6</v>
      </c>
      <c r="B47" s="6">
        <f>B46*1.03</f>
        <v>632420</v>
      </c>
      <c r="C47" s="3">
        <f t="shared" ref="C47:C49" si="0">B47-8000</f>
        <v>624420</v>
      </c>
      <c r="D47" s="2"/>
    </row>
    <row r="48" spans="1:5">
      <c r="A48" s="5" t="s">
        <v>7</v>
      </c>
      <c r="B48" s="6">
        <f>B47*1.1</f>
        <v>695662</v>
      </c>
      <c r="C48" s="3">
        <f t="shared" si="0"/>
        <v>687662</v>
      </c>
      <c r="D48" s="2"/>
    </row>
    <row r="49" spans="1:4">
      <c r="A49" s="5" t="s">
        <v>61</v>
      </c>
      <c r="B49" s="7">
        <f>B48*1.15</f>
        <v>800011.29999999993</v>
      </c>
      <c r="C49" s="3">
        <f t="shared" si="0"/>
        <v>792011.29999999993</v>
      </c>
      <c r="D49" s="27">
        <f>C49*0.02*0.2</f>
        <v>3168.0452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191B-E989-4D2F-96DF-0CFD9E81F415}">
  <dimension ref="A1:D47"/>
  <sheetViews>
    <sheetView workbookViewId="0">
      <selection activeCell="B8" sqref="B8"/>
    </sheetView>
  </sheetViews>
  <sheetFormatPr defaultColWidth="9" defaultRowHeight="15"/>
  <cols>
    <col min="1" max="1" width="25.5703125" style="2" bestFit="1" customWidth="1"/>
    <col min="2" max="2" width="9.85546875" style="12" bestFit="1" customWidth="1"/>
    <col min="3" max="4" width="9" style="3"/>
    <col min="5" max="16384" width="9" style="2"/>
  </cols>
  <sheetData>
    <row r="1" spans="1:3">
      <c r="A1" s="2" t="s">
        <v>1</v>
      </c>
      <c r="B1" s="13">
        <v>1</v>
      </c>
      <c r="C1" s="14">
        <v>3</v>
      </c>
    </row>
    <row r="2" spans="1:3">
      <c r="A2" s="2" t="s">
        <v>55</v>
      </c>
      <c r="B2" s="12">
        <f>SUM(B1:C1)</f>
        <v>4</v>
      </c>
    </row>
    <row r="4" spans="1:3">
      <c r="A4" s="1" t="s">
        <v>109</v>
      </c>
    </row>
    <row r="5" spans="1:3">
      <c r="A5" s="2" t="s">
        <v>110</v>
      </c>
      <c r="B5" s="13">
        <v>650000</v>
      </c>
    </row>
    <row r="6" spans="1:3">
      <c r="A6" s="2" t="s">
        <v>114</v>
      </c>
      <c r="B6" s="13">
        <v>2300</v>
      </c>
    </row>
    <row r="7" spans="1:3">
      <c r="A7" s="2" t="s">
        <v>111</v>
      </c>
      <c r="B7" s="13">
        <v>2.5</v>
      </c>
    </row>
    <row r="8" spans="1:3">
      <c r="A8" s="2" t="s">
        <v>113</v>
      </c>
      <c r="B8" s="12">
        <f>0.05</f>
        <v>0.05</v>
      </c>
    </row>
    <row r="9" spans="1:3">
      <c r="A9" s="2" t="s">
        <v>112</v>
      </c>
      <c r="B9" s="12">
        <f>B5/B7</f>
        <v>260000</v>
      </c>
    </row>
    <row r="10" spans="1:3">
      <c r="A10" s="2" t="s">
        <v>115</v>
      </c>
      <c r="B10" s="12">
        <f>(B8*B6)/1000</f>
        <v>0.115</v>
      </c>
    </row>
    <row r="11" spans="1:3">
      <c r="A11" s="2" t="s">
        <v>116</v>
      </c>
      <c r="B11" s="12">
        <f>B9*B10</f>
        <v>29900</v>
      </c>
    </row>
    <row r="13" spans="1:3">
      <c r="A13" s="1" t="s">
        <v>36</v>
      </c>
    </row>
    <row r="14" spans="1:3">
      <c r="A14" s="2" t="s">
        <v>56</v>
      </c>
      <c r="B14" s="12">
        <f>1*0.1*0.01</f>
        <v>1E-3</v>
      </c>
    </row>
    <row r="15" spans="1:3">
      <c r="A15" s="2" t="s">
        <v>57</v>
      </c>
      <c r="B15" s="12">
        <f>B14*1.34</f>
        <v>1.34E-3</v>
      </c>
    </row>
    <row r="16" spans="1:3">
      <c r="A16" s="2" t="s">
        <v>39</v>
      </c>
      <c r="B16" s="13">
        <v>36000</v>
      </c>
    </row>
    <row r="17" spans="1:3">
      <c r="A17" s="2" t="s">
        <v>35</v>
      </c>
      <c r="B17" s="13">
        <v>1440</v>
      </c>
    </row>
    <row r="18" spans="1:3">
      <c r="A18" s="2" t="s">
        <v>74</v>
      </c>
      <c r="B18" s="13">
        <v>0</v>
      </c>
    </row>
    <row r="19" spans="1:3">
      <c r="A19" s="2" t="s">
        <v>29</v>
      </c>
      <c r="B19" s="13">
        <v>72</v>
      </c>
    </row>
    <row r="20" spans="1:3">
      <c r="A20" s="2" t="s">
        <v>31</v>
      </c>
      <c r="B20" s="12">
        <f>B18/B19</f>
        <v>0</v>
      </c>
    </row>
    <row r="21" spans="1:3">
      <c r="A21" s="2" t="s">
        <v>32</v>
      </c>
      <c r="B21" s="12">
        <f>B16+B20</f>
        <v>36000</v>
      </c>
    </row>
    <row r="22" spans="1:3">
      <c r="A22" s="2" t="s">
        <v>33</v>
      </c>
      <c r="B22" s="12">
        <f>(B1/B2)*B15*1.5</f>
        <v>5.0250000000000002E-4</v>
      </c>
    </row>
    <row r="23" spans="1:3">
      <c r="A23" s="2" t="s">
        <v>34</v>
      </c>
      <c r="B23" s="12">
        <f>(B22*B17)/50</f>
        <v>1.4472E-2</v>
      </c>
    </row>
    <row r="24" spans="1:3">
      <c r="A24" s="2" t="s">
        <v>37</v>
      </c>
      <c r="B24" s="15">
        <f>B21*B23</f>
        <v>520.99199999999996</v>
      </c>
    </row>
    <row r="26" spans="1:3">
      <c r="A26" s="1" t="s">
        <v>38</v>
      </c>
    </row>
    <row r="27" spans="1:3">
      <c r="A27" s="2" t="s">
        <v>40</v>
      </c>
      <c r="B27" s="13">
        <v>300000</v>
      </c>
      <c r="C27" s="3" t="s">
        <v>41</v>
      </c>
    </row>
    <row r="28" spans="1:3">
      <c r="A28" s="2" t="s">
        <v>42</v>
      </c>
      <c r="B28" s="13">
        <v>1600</v>
      </c>
    </row>
    <row r="29" spans="1:3">
      <c r="A29" s="2" t="s">
        <v>44</v>
      </c>
      <c r="B29" s="13">
        <v>2</v>
      </c>
    </row>
    <row r="30" spans="1:3">
      <c r="A30" s="2" t="s">
        <v>45</v>
      </c>
      <c r="B30" s="12">
        <f>(B27/B29)</f>
        <v>150000</v>
      </c>
    </row>
    <row r="31" spans="1:3">
      <c r="A31" s="2" t="s">
        <v>33</v>
      </c>
      <c r="B31" s="12">
        <f>(C1/B2)*B15</f>
        <v>1.005E-3</v>
      </c>
    </row>
    <row r="32" spans="1:3">
      <c r="A32" s="2" t="s">
        <v>43</v>
      </c>
      <c r="B32" s="12">
        <f>B31*B28/1000</f>
        <v>1.6080000000000001E-3</v>
      </c>
    </row>
    <row r="33" spans="1:4">
      <c r="A33" s="2" t="s">
        <v>46</v>
      </c>
      <c r="B33" s="15">
        <f>B32*B30</f>
        <v>241.20000000000002</v>
      </c>
    </row>
    <row r="35" spans="1:4">
      <c r="A35" s="1" t="s">
        <v>4</v>
      </c>
    </row>
    <row r="36" spans="1:4">
      <c r="A36" s="2" t="s">
        <v>48</v>
      </c>
      <c r="B36" s="13">
        <v>20000</v>
      </c>
    </row>
    <row r="37" spans="1:4">
      <c r="A37" s="2" t="s">
        <v>49</v>
      </c>
      <c r="B37" s="13">
        <v>10000</v>
      </c>
    </row>
    <row r="38" spans="1:4">
      <c r="A38" s="2" t="s">
        <v>51</v>
      </c>
      <c r="B38" s="13">
        <v>1</v>
      </c>
    </row>
    <row r="39" spans="1:4">
      <c r="A39" s="2" t="s">
        <v>50</v>
      </c>
      <c r="B39" s="13">
        <v>2</v>
      </c>
    </row>
    <row r="40" spans="1:4">
      <c r="A40" s="2" t="s">
        <v>117</v>
      </c>
      <c r="B40" s="13">
        <v>5</v>
      </c>
    </row>
    <row r="41" spans="1:4">
      <c r="A41" s="2" t="s">
        <v>118</v>
      </c>
      <c r="B41" s="15">
        <f>((B36*B38)+(B37*B39))/B40</f>
        <v>8000</v>
      </c>
    </row>
    <row r="43" spans="1:4">
      <c r="A43" s="5" t="s">
        <v>23</v>
      </c>
      <c r="B43" s="7">
        <f>B11</f>
        <v>29900</v>
      </c>
      <c r="C43" s="3">
        <f>B43-B41</f>
        <v>21900</v>
      </c>
    </row>
    <row r="44" spans="1:4">
      <c r="A44" s="5" t="s">
        <v>6</v>
      </c>
      <c r="B44" s="6">
        <f>B43*1.03</f>
        <v>30797</v>
      </c>
      <c r="C44" s="6">
        <f>C43*1.03</f>
        <v>22557</v>
      </c>
    </row>
    <row r="45" spans="1:4">
      <c r="A45" s="5" t="s">
        <v>7</v>
      </c>
      <c r="B45" s="6">
        <f>B44*1.1</f>
        <v>33876.700000000004</v>
      </c>
      <c r="C45" s="6">
        <f>C44*1.1</f>
        <v>24812.7</v>
      </c>
    </row>
    <row r="46" spans="1:4">
      <c r="A46" s="5" t="s">
        <v>61</v>
      </c>
      <c r="B46" s="6">
        <f>1.15*B45</f>
        <v>38958.205000000002</v>
      </c>
      <c r="C46" s="6">
        <f>1.15*C45</f>
        <v>28534.605</v>
      </c>
      <c r="D46" s="3">
        <f>B46*0.02</f>
        <v>779.16410000000008</v>
      </c>
    </row>
    <row r="47" spans="1:4">
      <c r="B47" s="17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DB9E-7D16-4970-AD81-02F38497060D}">
  <dimension ref="A2:D31"/>
  <sheetViews>
    <sheetView workbookViewId="0">
      <selection activeCell="G12" sqref="G12"/>
    </sheetView>
  </sheetViews>
  <sheetFormatPr defaultColWidth="9" defaultRowHeight="15"/>
  <cols>
    <col min="1" max="1" width="25.5703125" style="2" bestFit="1" customWidth="1"/>
    <col min="2" max="2" width="11.140625" style="12" bestFit="1" customWidth="1"/>
    <col min="3" max="3" width="11.42578125" style="3" customWidth="1"/>
    <col min="4" max="4" width="9.42578125" style="3" bestFit="1" customWidth="1"/>
    <col min="5" max="5" width="11.42578125" style="2" bestFit="1" customWidth="1"/>
    <col min="6" max="16384" width="9" style="2"/>
  </cols>
  <sheetData>
    <row r="2" spans="1:3">
      <c r="A2" s="1" t="s">
        <v>38</v>
      </c>
    </row>
    <row r="3" spans="1:3">
      <c r="A3" s="2" t="s">
        <v>75</v>
      </c>
      <c r="B3" s="13">
        <v>380000</v>
      </c>
      <c r="C3" s="3" t="s">
        <v>85</v>
      </c>
    </row>
    <row r="4" spans="1:3">
      <c r="A4" s="2" t="s">
        <v>42</v>
      </c>
      <c r="B4" s="13">
        <v>1600</v>
      </c>
    </row>
    <row r="5" spans="1:3">
      <c r="A5" s="2" t="s">
        <v>44</v>
      </c>
      <c r="B5" s="13">
        <v>2</v>
      </c>
    </row>
    <row r="6" spans="1:3">
      <c r="A6" s="2" t="s">
        <v>45</v>
      </c>
      <c r="B6" s="12">
        <f>(B3/B5)</f>
        <v>190000</v>
      </c>
    </row>
    <row r="7" spans="1:3">
      <c r="A7" s="2" t="s">
        <v>33</v>
      </c>
      <c r="B7" s="12">
        <v>0.25</v>
      </c>
    </row>
    <row r="8" spans="1:3">
      <c r="A8" s="2" t="s">
        <v>43</v>
      </c>
      <c r="B8" s="12">
        <f>B7*B4/1000</f>
        <v>0.4</v>
      </c>
    </row>
    <row r="9" spans="1:3">
      <c r="A9" s="2" t="s">
        <v>46</v>
      </c>
      <c r="B9" s="15">
        <f>B8*B6</f>
        <v>76000</v>
      </c>
      <c r="C9" s="27">
        <f>B9*0.4</f>
        <v>30400</v>
      </c>
    </row>
    <row r="11" spans="1:3">
      <c r="A11" s="1" t="s">
        <v>119</v>
      </c>
    </row>
    <row r="12" spans="1:3">
      <c r="A12" s="2" t="s">
        <v>125</v>
      </c>
      <c r="B12" s="13">
        <v>380000</v>
      </c>
      <c r="C12" s="3" t="s">
        <v>41</v>
      </c>
    </row>
    <row r="13" spans="1:3">
      <c r="A13" s="2" t="s">
        <v>47</v>
      </c>
      <c r="B13" s="13">
        <v>2100</v>
      </c>
    </row>
    <row r="14" spans="1:3">
      <c r="A14" s="2" t="s">
        <v>44</v>
      </c>
      <c r="B14" s="13">
        <f>2.5</f>
        <v>2.5</v>
      </c>
    </row>
    <row r="15" spans="1:3">
      <c r="A15" s="2" t="s">
        <v>79</v>
      </c>
      <c r="B15" s="12">
        <f>(B12/B14)</f>
        <v>152000</v>
      </c>
    </row>
    <row r="16" spans="1:3">
      <c r="A16" s="2" t="s">
        <v>33</v>
      </c>
      <c r="B16" s="12">
        <v>0.4</v>
      </c>
    </row>
    <row r="17" spans="1:4">
      <c r="A17" s="2" t="s">
        <v>43</v>
      </c>
      <c r="B17" s="12">
        <f>B16*B13/1000</f>
        <v>0.84</v>
      </c>
    </row>
    <row r="18" spans="1:4">
      <c r="A18" s="2" t="s">
        <v>78</v>
      </c>
      <c r="B18" s="15">
        <f>B17*B15</f>
        <v>127680</v>
      </c>
    </row>
    <row r="20" spans="1:4">
      <c r="A20" s="1" t="s">
        <v>4</v>
      </c>
    </row>
    <row r="21" spans="1:4">
      <c r="A21" s="2" t="s">
        <v>48</v>
      </c>
      <c r="B21" s="13">
        <v>30000</v>
      </c>
    </row>
    <row r="22" spans="1:4">
      <c r="A22" s="2" t="s">
        <v>49</v>
      </c>
      <c r="B22" s="13">
        <v>10000</v>
      </c>
      <c r="D22" s="27"/>
    </row>
    <row r="23" spans="1:4">
      <c r="A23" s="2" t="s">
        <v>51</v>
      </c>
      <c r="B23" s="13">
        <v>1</v>
      </c>
    </row>
    <row r="24" spans="1:4">
      <c r="A24" s="2" t="s">
        <v>50</v>
      </c>
      <c r="B24" s="13">
        <v>1</v>
      </c>
    </row>
    <row r="25" spans="1:4">
      <c r="A25" s="2" t="s">
        <v>53</v>
      </c>
      <c r="B25" s="13">
        <v>5</v>
      </c>
    </row>
    <row r="26" spans="1:4">
      <c r="A26" s="2" t="s">
        <v>52</v>
      </c>
      <c r="B26" s="15">
        <f>((B21*B23)+(B22*B24))/B25</f>
        <v>8000</v>
      </c>
      <c r="D26" s="27"/>
    </row>
    <row r="28" spans="1:4">
      <c r="A28" s="5" t="s">
        <v>23</v>
      </c>
      <c r="B28" s="7">
        <v>38000</v>
      </c>
      <c r="C28" s="3">
        <f>B28-8000</f>
        <v>30000</v>
      </c>
      <c r="D28" s="2"/>
    </row>
    <row r="29" spans="1:4">
      <c r="A29" s="5" t="s">
        <v>6</v>
      </c>
      <c r="B29" s="6">
        <f>B28*1.03</f>
        <v>39140</v>
      </c>
      <c r="C29" s="6">
        <f>C28*1.03</f>
        <v>30900</v>
      </c>
      <c r="D29" s="2"/>
    </row>
    <row r="30" spans="1:4">
      <c r="A30" s="5" t="s">
        <v>7</v>
      </c>
      <c r="B30" s="6">
        <f>B29*1.1</f>
        <v>43054</v>
      </c>
      <c r="C30" s="6">
        <f>C29*1.1</f>
        <v>33990</v>
      </c>
      <c r="D30" s="2"/>
    </row>
    <row r="31" spans="1:4">
      <c r="A31" s="5" t="s">
        <v>61</v>
      </c>
      <c r="B31" s="7">
        <f>B30*1.15</f>
        <v>49512.1</v>
      </c>
      <c r="C31" s="7">
        <f>C30*1.15</f>
        <v>39088.5</v>
      </c>
      <c r="D31" s="27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03D6-08A6-4C28-88D6-858F306EA6DD}">
  <dimension ref="A1:D20"/>
  <sheetViews>
    <sheetView workbookViewId="0">
      <selection activeCell="D9" sqref="D9"/>
    </sheetView>
  </sheetViews>
  <sheetFormatPr defaultColWidth="9" defaultRowHeight="15"/>
  <cols>
    <col min="1" max="1" width="25.5703125" style="2" bestFit="1" customWidth="1"/>
    <col min="2" max="2" width="11.140625" style="12" bestFit="1" customWidth="1"/>
    <col min="3" max="3" width="11.42578125" style="3" customWidth="1"/>
    <col min="4" max="4" width="9" style="3"/>
    <col min="5" max="5" width="11.42578125" style="2" bestFit="1" customWidth="1"/>
    <col min="6" max="16384" width="9" style="2"/>
  </cols>
  <sheetData>
    <row r="1" spans="1:4">
      <c r="A1" s="2" t="s">
        <v>3</v>
      </c>
      <c r="B1" s="12" t="s">
        <v>9</v>
      </c>
    </row>
    <row r="2" spans="1:4">
      <c r="A2" s="2" t="s">
        <v>77</v>
      </c>
      <c r="B2" s="13">
        <v>1.2</v>
      </c>
      <c r="C2" s="14">
        <v>2.4</v>
      </c>
      <c r="D2" s="14" t="s">
        <v>97</v>
      </c>
    </row>
    <row r="3" spans="1:4">
      <c r="A3" s="2" t="s">
        <v>26</v>
      </c>
      <c r="B3" s="13">
        <v>1</v>
      </c>
    </row>
    <row r="5" spans="1:4">
      <c r="A5" s="2" t="s">
        <v>95</v>
      </c>
      <c r="B5" s="13">
        <v>65000</v>
      </c>
    </row>
    <row r="6" spans="1:4">
      <c r="A6" s="2" t="s">
        <v>124</v>
      </c>
      <c r="B6" s="13">
        <f>B2*C2</f>
        <v>2.88</v>
      </c>
    </row>
    <row r="7" spans="1:4">
      <c r="A7" s="2" t="s">
        <v>81</v>
      </c>
      <c r="B7" s="15">
        <f>B5/B6</f>
        <v>22569.444444444445</v>
      </c>
    </row>
    <row r="9" spans="1:4">
      <c r="A9" s="1" t="s">
        <v>4</v>
      </c>
    </row>
    <row r="10" spans="1:4">
      <c r="A10" s="2" t="s">
        <v>48</v>
      </c>
      <c r="B10" s="13">
        <v>20000</v>
      </c>
    </row>
    <row r="11" spans="1:4">
      <c r="A11" s="2" t="s">
        <v>49</v>
      </c>
      <c r="B11" s="13">
        <v>10000</v>
      </c>
    </row>
    <row r="12" spans="1:4">
      <c r="A12" s="2" t="s">
        <v>51</v>
      </c>
      <c r="B12" s="13">
        <v>1</v>
      </c>
    </row>
    <row r="13" spans="1:4">
      <c r="A13" s="2" t="s">
        <v>50</v>
      </c>
      <c r="B13" s="13">
        <v>1</v>
      </c>
    </row>
    <row r="14" spans="1:4">
      <c r="A14" s="2" t="s">
        <v>53</v>
      </c>
      <c r="B14" s="13">
        <v>5</v>
      </c>
    </row>
    <row r="15" spans="1:4">
      <c r="A15" s="2" t="s">
        <v>52</v>
      </c>
      <c r="B15" s="15">
        <f>((B10*B12)+(B11*B13))/B14</f>
        <v>6000</v>
      </c>
    </row>
    <row r="16" spans="1:4">
      <c r="B16" s="15"/>
    </row>
    <row r="17" spans="1:4">
      <c r="A17" s="5" t="s">
        <v>23</v>
      </c>
      <c r="B17" s="7">
        <f>B7+B15</f>
        <v>28569.444444444445</v>
      </c>
      <c r="D17" s="2"/>
    </row>
    <row r="18" spans="1:4">
      <c r="A18" s="5" t="s">
        <v>6</v>
      </c>
      <c r="B18" s="6">
        <f>B17*1.03</f>
        <v>29426.527777777781</v>
      </c>
      <c r="D18" s="2"/>
    </row>
    <row r="19" spans="1:4">
      <c r="A19" s="5" t="s">
        <v>7</v>
      </c>
      <c r="B19" s="6">
        <f>B18*1.1</f>
        <v>32369.180555555562</v>
      </c>
      <c r="D19" s="2"/>
    </row>
    <row r="20" spans="1:4">
      <c r="A20" s="5" t="s">
        <v>61</v>
      </c>
      <c r="B20" s="7">
        <f>B19*1.15</f>
        <v>37224.557638888895</v>
      </c>
      <c r="D20" s="2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7CFA-4A4E-478E-831A-711971EFD92B}">
  <dimension ref="A1:D21"/>
  <sheetViews>
    <sheetView topLeftCell="A13" workbookViewId="0">
      <selection activeCell="B21" sqref="B21"/>
    </sheetView>
  </sheetViews>
  <sheetFormatPr defaultColWidth="9" defaultRowHeight="15"/>
  <cols>
    <col min="1" max="1" width="25.5703125" style="2" bestFit="1" customWidth="1"/>
    <col min="2" max="2" width="11.140625" style="12" bestFit="1" customWidth="1"/>
    <col min="3" max="3" width="11.42578125" style="3" customWidth="1"/>
    <col min="4" max="4" width="9" style="3"/>
    <col min="5" max="5" width="11.42578125" style="2" bestFit="1" customWidth="1"/>
    <col min="6" max="16384" width="9" style="2"/>
  </cols>
  <sheetData>
    <row r="1" spans="1:4">
      <c r="A1" s="2" t="s">
        <v>3</v>
      </c>
      <c r="B1" s="12" t="s">
        <v>9</v>
      </c>
    </row>
    <row r="2" spans="1:4">
      <c r="A2" s="2" t="s">
        <v>77</v>
      </c>
      <c r="B2" s="13">
        <v>2.44</v>
      </c>
      <c r="C2" s="14">
        <v>1.22</v>
      </c>
      <c r="D2" s="14" t="s">
        <v>98</v>
      </c>
    </row>
    <row r="3" spans="1:4">
      <c r="A3" s="2" t="s">
        <v>26</v>
      </c>
      <c r="B3" s="13">
        <v>1</v>
      </c>
    </row>
    <row r="5" spans="1:4">
      <c r="A5" s="2" t="s">
        <v>95</v>
      </c>
      <c r="B5" s="13">
        <v>27000</v>
      </c>
    </row>
    <row r="6" spans="1:4">
      <c r="A6" s="2" t="s">
        <v>128</v>
      </c>
      <c r="B6" s="13">
        <f>B2*C2-0.5</f>
        <v>2.4767999999999999</v>
      </c>
    </row>
    <row r="7" spans="1:4">
      <c r="A7" s="2" t="s">
        <v>129</v>
      </c>
      <c r="B7" s="12">
        <v>500</v>
      </c>
    </row>
    <row r="8" spans="1:4">
      <c r="A8" s="2" t="s">
        <v>81</v>
      </c>
      <c r="B8" s="15">
        <f>(B5/B6)+B7</f>
        <v>11401.162790697676</v>
      </c>
    </row>
    <row r="10" spans="1:4">
      <c r="A10" s="1" t="s">
        <v>4</v>
      </c>
    </row>
    <row r="11" spans="1:4">
      <c r="A11" s="2" t="s">
        <v>48</v>
      </c>
      <c r="B11" s="13">
        <v>20000</v>
      </c>
    </row>
    <row r="12" spans="1:4">
      <c r="A12" s="2" t="s">
        <v>49</v>
      </c>
      <c r="B12" s="13">
        <v>10000</v>
      </c>
    </row>
    <row r="13" spans="1:4">
      <c r="A13" s="2" t="s">
        <v>51</v>
      </c>
      <c r="B13" s="13">
        <v>1</v>
      </c>
    </row>
    <row r="14" spans="1:4">
      <c r="A14" s="2" t="s">
        <v>50</v>
      </c>
      <c r="B14" s="13">
        <v>2</v>
      </c>
    </row>
    <row r="15" spans="1:4">
      <c r="A15" s="2" t="s">
        <v>117</v>
      </c>
      <c r="B15" s="13">
        <v>12</v>
      </c>
    </row>
    <row r="16" spans="1:4">
      <c r="A16" s="2" t="s">
        <v>52</v>
      </c>
      <c r="B16" s="15">
        <f>((B11*B13)+(B12*B14))/B15</f>
        <v>3333.3333333333335</v>
      </c>
    </row>
    <row r="17" spans="1:4">
      <c r="B17" s="15"/>
    </row>
    <row r="18" spans="1:4">
      <c r="A18" s="5" t="s">
        <v>23</v>
      </c>
      <c r="B18" s="7">
        <f>B8</f>
        <v>11401.162790697676</v>
      </c>
      <c r="D18" s="2"/>
    </row>
    <row r="19" spans="1:4">
      <c r="A19" s="5" t="s">
        <v>6</v>
      </c>
      <c r="B19" s="6">
        <f>B18*1.03</f>
        <v>11743.197674418607</v>
      </c>
      <c r="D19" s="2"/>
    </row>
    <row r="20" spans="1:4">
      <c r="A20" s="5" t="s">
        <v>7</v>
      </c>
      <c r="B20" s="6">
        <f>B19*1.1</f>
        <v>12917.517441860469</v>
      </c>
      <c r="D20" s="2"/>
    </row>
    <row r="21" spans="1:4">
      <c r="A21" s="5" t="s">
        <v>127</v>
      </c>
      <c r="B21" s="7">
        <f>B20*1.2</f>
        <v>15501.020930232562</v>
      </c>
      <c r="D21" s="2"/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69E5-2318-418F-B85B-76E78C4261E1}">
  <dimension ref="A1:D21"/>
  <sheetViews>
    <sheetView workbookViewId="0">
      <selection activeCell="B21" sqref="B21"/>
    </sheetView>
  </sheetViews>
  <sheetFormatPr defaultColWidth="9" defaultRowHeight="15"/>
  <cols>
    <col min="1" max="1" width="25.5703125" style="2" bestFit="1" customWidth="1"/>
    <col min="2" max="2" width="11.140625" style="12" bestFit="1" customWidth="1"/>
    <col min="3" max="3" width="11.42578125" style="3" customWidth="1"/>
    <col min="4" max="4" width="9" style="3"/>
    <col min="5" max="5" width="11.42578125" style="2" bestFit="1" customWidth="1"/>
    <col min="6" max="16384" width="9" style="2"/>
  </cols>
  <sheetData>
    <row r="1" spans="1:4">
      <c r="A1" s="2" t="s">
        <v>3</v>
      </c>
      <c r="B1" s="2" t="s">
        <v>99</v>
      </c>
      <c r="C1" s="2"/>
    </row>
    <row r="2" spans="1:4">
      <c r="B2" s="12" t="s">
        <v>94</v>
      </c>
      <c r="C2" s="3" t="s">
        <v>100</v>
      </c>
    </row>
    <row r="3" spans="1:4">
      <c r="A3" s="2" t="s">
        <v>77</v>
      </c>
      <c r="B3" s="13">
        <v>12</v>
      </c>
      <c r="C3" s="14">
        <v>10</v>
      </c>
      <c r="D3" s="14"/>
    </row>
    <row r="4" spans="1:4">
      <c r="A4" s="2" t="s">
        <v>26</v>
      </c>
      <c r="B4" s="13">
        <v>1</v>
      </c>
    </row>
    <row r="5" spans="1:4">
      <c r="A5" s="2" t="s">
        <v>130</v>
      </c>
    </row>
    <row r="6" spans="1:4">
      <c r="A6" s="2" t="s">
        <v>101</v>
      </c>
      <c r="B6" s="13">
        <v>28000</v>
      </c>
    </row>
    <row r="7" spans="1:4">
      <c r="A7" s="2" t="s">
        <v>102</v>
      </c>
      <c r="B7" s="13">
        <f>B3*((C3*C3)/162)</f>
        <v>7.4074074074074066</v>
      </c>
    </row>
    <row r="8" spans="1:4">
      <c r="A8" s="2" t="s">
        <v>81</v>
      </c>
      <c r="B8" s="15">
        <f>B6/B7</f>
        <v>3780.0000000000005</v>
      </c>
    </row>
    <row r="10" spans="1:4">
      <c r="A10" s="1" t="s">
        <v>4</v>
      </c>
    </row>
    <row r="11" spans="1:4">
      <c r="A11" s="2" t="s">
        <v>48</v>
      </c>
      <c r="B11" s="13">
        <v>30000</v>
      </c>
    </row>
    <row r="12" spans="1:4">
      <c r="A12" s="2" t="s">
        <v>49</v>
      </c>
      <c r="B12" s="13">
        <v>10000</v>
      </c>
    </row>
    <row r="13" spans="1:4">
      <c r="A13" s="2" t="s">
        <v>51</v>
      </c>
      <c r="B13" s="13">
        <v>1</v>
      </c>
    </row>
    <row r="14" spans="1:4">
      <c r="A14" s="2" t="s">
        <v>50</v>
      </c>
      <c r="B14" s="13">
        <v>2</v>
      </c>
    </row>
    <row r="15" spans="1:4">
      <c r="A15" s="2" t="s">
        <v>103</v>
      </c>
      <c r="B15" s="13">
        <v>50</v>
      </c>
    </row>
    <row r="16" spans="1:4">
      <c r="A16" s="2" t="s">
        <v>104</v>
      </c>
      <c r="B16" s="15">
        <f>((B11*B13)+(B12*B14))/B15</f>
        <v>1000</v>
      </c>
    </row>
    <row r="17" spans="1:4">
      <c r="B17" s="15"/>
    </row>
    <row r="18" spans="1:4">
      <c r="A18" s="5" t="s">
        <v>105</v>
      </c>
      <c r="B18" s="7">
        <f>B8+B16</f>
        <v>4780</v>
      </c>
      <c r="D18" s="2"/>
    </row>
    <row r="19" spans="1:4">
      <c r="A19" s="5" t="s">
        <v>6</v>
      </c>
      <c r="B19" s="6">
        <f>B18*1.03</f>
        <v>4923.4000000000005</v>
      </c>
      <c r="D19" s="2"/>
    </row>
    <row r="20" spans="1:4">
      <c r="A20" s="5" t="s">
        <v>7</v>
      </c>
      <c r="B20" s="6">
        <f>B19*1.1</f>
        <v>5415.7400000000007</v>
      </c>
      <c r="D20" s="2"/>
    </row>
    <row r="21" spans="1:4">
      <c r="A21" s="5" t="s">
        <v>127</v>
      </c>
      <c r="B21" s="7">
        <f>B20*1.2</f>
        <v>6498.8880000000008</v>
      </c>
      <c r="D21" s="2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EDC2-FBF5-49CA-8030-DDD533763932}">
  <dimension ref="A1:C18"/>
  <sheetViews>
    <sheetView workbookViewId="0">
      <selection activeCell="D14" sqref="D14"/>
    </sheetView>
  </sheetViews>
  <sheetFormatPr defaultColWidth="9" defaultRowHeight="15"/>
  <cols>
    <col min="1" max="1" width="23" style="2" bestFit="1" customWidth="1"/>
    <col min="2" max="2" width="9" style="2" bestFit="1"/>
    <col min="3" max="16384" width="9" style="2"/>
  </cols>
  <sheetData>
    <row r="1" spans="1:3">
      <c r="B1" s="2" t="s">
        <v>155</v>
      </c>
    </row>
    <row r="2" spans="1:3">
      <c r="A2" s="2" t="s">
        <v>77</v>
      </c>
      <c r="B2" s="2">
        <v>5.8</v>
      </c>
      <c r="C2" s="2" t="s">
        <v>150</v>
      </c>
    </row>
    <row r="3" spans="1:3">
      <c r="A3" s="2" t="s">
        <v>132</v>
      </c>
      <c r="B3" s="2" t="s">
        <v>151</v>
      </c>
    </row>
    <row r="4" spans="1:3">
      <c r="A4" s="2" t="s">
        <v>152</v>
      </c>
      <c r="B4" s="2">
        <v>52500</v>
      </c>
    </row>
    <row r="5" spans="1:3" ht="18" customHeight="1">
      <c r="A5" s="2" t="s">
        <v>153</v>
      </c>
      <c r="B5" s="2">
        <v>2000</v>
      </c>
    </row>
    <row r="6" spans="1:3">
      <c r="A6" s="2" t="s">
        <v>154</v>
      </c>
      <c r="B6" s="2">
        <f>B4/B2+B5</f>
        <v>11051.724137931034</v>
      </c>
    </row>
    <row r="8" spans="1:3">
      <c r="A8" s="1" t="s">
        <v>4</v>
      </c>
      <c r="B8" s="12"/>
    </row>
    <row r="9" spans="1:3">
      <c r="A9" s="2" t="s">
        <v>48</v>
      </c>
      <c r="B9" s="13">
        <v>30000</v>
      </c>
    </row>
    <row r="10" spans="1:3">
      <c r="A10" s="2" t="s">
        <v>49</v>
      </c>
      <c r="B10" s="13">
        <v>10000</v>
      </c>
    </row>
    <row r="11" spans="1:3">
      <c r="A11" s="2" t="s">
        <v>51</v>
      </c>
      <c r="B11" s="13">
        <v>1</v>
      </c>
    </row>
    <row r="12" spans="1:3">
      <c r="A12" s="2" t="s">
        <v>50</v>
      </c>
      <c r="B12" s="13">
        <v>2</v>
      </c>
    </row>
    <row r="13" spans="1:3">
      <c r="A13" s="2" t="s">
        <v>140</v>
      </c>
      <c r="B13" s="13">
        <v>10</v>
      </c>
    </row>
    <row r="14" spans="1:3">
      <c r="A14" s="2" t="s">
        <v>141</v>
      </c>
      <c r="B14" s="15">
        <f>((B9*B11)+(B10*B12))/B13</f>
        <v>5000</v>
      </c>
    </row>
    <row r="16" spans="1:3">
      <c r="A16" s="5" t="s">
        <v>6</v>
      </c>
      <c r="B16" s="6">
        <f>B6+B14</f>
        <v>16051.724137931034</v>
      </c>
    </row>
    <row r="17" spans="1:2">
      <c r="A17" s="5" t="s">
        <v>7</v>
      </c>
      <c r="B17" s="6">
        <f>B16*1.1</f>
        <v>17656.896551724138</v>
      </c>
    </row>
    <row r="18" spans="1:2">
      <c r="A18" s="5" t="s">
        <v>127</v>
      </c>
      <c r="B18" s="7">
        <f>B17*1.2</f>
        <v>21188.275862068964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F29A-298F-43A2-A567-9AFB1FB8C959}">
  <dimension ref="A1:D18"/>
  <sheetViews>
    <sheetView workbookViewId="0"/>
  </sheetViews>
  <sheetFormatPr defaultColWidth="9" defaultRowHeight="15"/>
  <cols>
    <col min="1" max="1" width="23" style="2" bestFit="1" customWidth="1"/>
    <col min="2" max="2" width="9" style="2" bestFit="1" customWidth="1"/>
    <col min="3" max="16384" width="9" style="2"/>
  </cols>
  <sheetData>
    <row r="1" spans="1:4">
      <c r="B1" s="2" t="s">
        <v>145</v>
      </c>
      <c r="C1" s="2" t="s">
        <v>144</v>
      </c>
      <c r="D1" s="2" t="s">
        <v>143</v>
      </c>
    </row>
    <row r="2" spans="1:4">
      <c r="A2" s="2" t="s">
        <v>77</v>
      </c>
      <c r="B2" s="2">
        <v>1.22</v>
      </c>
      <c r="C2" s="2">
        <v>2.44</v>
      </c>
      <c r="D2" s="2">
        <v>4</v>
      </c>
    </row>
    <row r="3" spans="1:4">
      <c r="A3" s="2" t="s">
        <v>146</v>
      </c>
      <c r="B3" s="2">
        <f>B2*C2*(D2/1000)*7850</f>
        <v>93.471519999999998</v>
      </c>
    </row>
    <row r="4" spans="1:4">
      <c r="A4" s="2" t="s">
        <v>147</v>
      </c>
      <c r="B4" s="2">
        <v>285000</v>
      </c>
    </row>
    <row r="5" spans="1:4" ht="18" customHeight="1">
      <c r="A5" s="2" t="s">
        <v>149</v>
      </c>
      <c r="B5" s="2">
        <v>1000</v>
      </c>
    </row>
    <row r="6" spans="1:4">
      <c r="A6" s="2" t="s">
        <v>148</v>
      </c>
      <c r="B6" s="2">
        <f>B4/B3+B5</f>
        <v>4049.0570817720736</v>
      </c>
    </row>
    <row r="8" spans="1:4">
      <c r="A8" s="1" t="s">
        <v>4</v>
      </c>
      <c r="B8" s="12"/>
    </row>
    <row r="9" spans="1:4">
      <c r="A9" s="2" t="s">
        <v>48</v>
      </c>
      <c r="B9" s="13">
        <v>30000</v>
      </c>
    </row>
    <row r="10" spans="1:4">
      <c r="A10" s="2" t="s">
        <v>49</v>
      </c>
      <c r="B10" s="13">
        <v>10000</v>
      </c>
    </row>
    <row r="11" spans="1:4">
      <c r="A11" s="2" t="s">
        <v>51</v>
      </c>
      <c r="B11" s="13">
        <v>1</v>
      </c>
    </row>
    <row r="12" spans="1:4">
      <c r="A12" s="2" t="s">
        <v>50</v>
      </c>
      <c r="B12" s="13">
        <v>2</v>
      </c>
    </row>
    <row r="13" spans="1:4">
      <c r="A13" s="2" t="s">
        <v>140</v>
      </c>
      <c r="B13" s="13">
        <v>50</v>
      </c>
    </row>
    <row r="14" spans="1:4">
      <c r="A14" s="2" t="s">
        <v>141</v>
      </c>
      <c r="B14" s="15">
        <f>((B9*B11)+(B10*B12))/B13</f>
        <v>1000</v>
      </c>
    </row>
    <row r="16" spans="1:4">
      <c r="A16" s="5" t="s">
        <v>6</v>
      </c>
      <c r="B16" s="6">
        <f>B6+B14</f>
        <v>5049.0570817720736</v>
      </c>
    </row>
    <row r="17" spans="1:2">
      <c r="A17" s="5" t="s">
        <v>7</v>
      </c>
      <c r="B17" s="6">
        <f>B16*1.1</f>
        <v>5553.9627899492816</v>
      </c>
    </row>
    <row r="18" spans="1:2">
      <c r="A18" s="5" t="s">
        <v>127</v>
      </c>
      <c r="B18" s="7">
        <f>B17*1.2</f>
        <v>6664.7553479391381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BF56-7734-4B08-AAEC-3741B7D1C09F}">
  <dimension ref="A1:E22"/>
  <sheetViews>
    <sheetView topLeftCell="A14" workbookViewId="0">
      <selection activeCell="B22" sqref="B22"/>
    </sheetView>
  </sheetViews>
  <sheetFormatPr defaultColWidth="9" defaultRowHeight="15"/>
  <cols>
    <col min="1" max="1" width="25.5703125" style="2" bestFit="1" customWidth="1"/>
    <col min="2" max="2" width="11.140625" style="12" bestFit="1" customWidth="1"/>
    <col min="3" max="3" width="11.42578125" style="3" customWidth="1"/>
    <col min="4" max="4" width="9" style="3"/>
    <col min="5" max="5" width="11.42578125" style="2" bestFit="1" customWidth="1"/>
    <col min="6" max="16384" width="9" style="2"/>
  </cols>
  <sheetData>
    <row r="1" spans="1:5">
      <c r="A1" s="2" t="s">
        <v>3</v>
      </c>
      <c r="B1" s="2" t="s">
        <v>99</v>
      </c>
      <c r="C1" s="2"/>
    </row>
    <row r="2" spans="1:5">
      <c r="B2" s="12" t="s">
        <v>131</v>
      </c>
      <c r="E2" s="2" t="s">
        <v>161</v>
      </c>
    </row>
    <row r="3" spans="1:5">
      <c r="A3" s="2" t="s">
        <v>77</v>
      </c>
      <c r="B3" s="13">
        <v>6</v>
      </c>
      <c r="C3" s="14">
        <v>70</v>
      </c>
      <c r="D3" s="28">
        <v>70</v>
      </c>
      <c r="E3" s="28">
        <v>6</v>
      </c>
    </row>
    <row r="4" spans="1:5">
      <c r="A4" s="2" t="s">
        <v>26</v>
      </c>
      <c r="B4" s="13">
        <v>1</v>
      </c>
    </row>
    <row r="5" spans="1:5">
      <c r="A5" s="2" t="s">
        <v>163</v>
      </c>
      <c r="B5" s="13">
        <v>1000</v>
      </c>
    </row>
    <row r="6" spans="1:5">
      <c r="A6" s="2" t="s">
        <v>164</v>
      </c>
      <c r="B6" s="12">
        <v>1000</v>
      </c>
    </row>
    <row r="7" spans="1:5">
      <c r="A7" s="2" t="s">
        <v>101</v>
      </c>
      <c r="B7" s="13">
        <v>161000</v>
      </c>
    </row>
    <row r="8" spans="1:5">
      <c r="A8" s="2" t="s">
        <v>102</v>
      </c>
      <c r="B8" s="13">
        <f>B3*6.31</f>
        <v>37.86</v>
      </c>
    </row>
    <row r="9" spans="1:5">
      <c r="A9" s="2" t="s">
        <v>148</v>
      </c>
      <c r="B9" s="15">
        <f>(B7/B8)+B6+B5</f>
        <v>6252.5092445853143</v>
      </c>
    </row>
    <row r="11" spans="1:5">
      <c r="A11" s="1" t="s">
        <v>4</v>
      </c>
    </row>
    <row r="12" spans="1:5">
      <c r="A12" s="2" t="s">
        <v>48</v>
      </c>
      <c r="B12" s="13">
        <v>30000</v>
      </c>
    </row>
    <row r="13" spans="1:5">
      <c r="A13" s="2" t="s">
        <v>49</v>
      </c>
      <c r="B13" s="13">
        <v>20000</v>
      </c>
    </row>
    <row r="14" spans="1:5">
      <c r="A14" s="2" t="s">
        <v>51</v>
      </c>
      <c r="B14" s="13">
        <v>1</v>
      </c>
    </row>
    <row r="15" spans="1:5">
      <c r="A15" s="2" t="s">
        <v>50</v>
      </c>
      <c r="B15" s="13">
        <v>2</v>
      </c>
    </row>
    <row r="16" spans="1:5">
      <c r="A16" s="2" t="s">
        <v>103</v>
      </c>
      <c r="B16" s="13">
        <v>50</v>
      </c>
    </row>
    <row r="17" spans="1:4">
      <c r="A17" s="2" t="s">
        <v>104</v>
      </c>
      <c r="B17" s="15">
        <f>((B12*B14)+(B13*B15))/B16</f>
        <v>1400</v>
      </c>
    </row>
    <row r="18" spans="1:4">
      <c r="B18" s="15"/>
    </row>
    <row r="19" spans="1:4">
      <c r="A19" s="5" t="s">
        <v>105</v>
      </c>
      <c r="B19" s="7">
        <f>B9+B17</f>
        <v>7652.5092445853143</v>
      </c>
      <c r="D19" s="2"/>
    </row>
    <row r="20" spans="1:4">
      <c r="A20" s="5" t="s">
        <v>6</v>
      </c>
      <c r="B20" s="6">
        <f>B19*1.03</f>
        <v>7882.084521922874</v>
      </c>
      <c r="D20" s="2"/>
    </row>
    <row r="21" spans="1:4">
      <c r="A21" s="5" t="s">
        <v>7</v>
      </c>
      <c r="B21" s="6">
        <f>B20*1.1</f>
        <v>8670.292974115162</v>
      </c>
      <c r="D21" s="2"/>
    </row>
    <row r="22" spans="1:4">
      <c r="A22" s="5" t="s">
        <v>127</v>
      </c>
      <c r="B22" s="7">
        <f>B21*1.2</f>
        <v>10404.351568938195</v>
      </c>
      <c r="D22" s="2"/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E23F-AD06-4079-948A-77E712634D78}">
  <dimension ref="A1:D68"/>
  <sheetViews>
    <sheetView workbookViewId="0">
      <selection activeCell="A16" sqref="A16"/>
    </sheetView>
  </sheetViews>
  <sheetFormatPr defaultColWidth="9" defaultRowHeight="15"/>
  <cols>
    <col min="1" max="1" width="22.5703125" style="2" bestFit="1" customWidth="1"/>
    <col min="2" max="2" width="10.140625" style="32" bestFit="1" customWidth="1"/>
    <col min="3" max="3" width="9.28515625" style="3" customWidth="1"/>
    <col min="4" max="4" width="9.42578125" style="3" bestFit="1" customWidth="1"/>
    <col min="5" max="5" width="11.42578125" style="2" bestFit="1" customWidth="1"/>
    <col min="6" max="16384" width="9" style="2"/>
  </cols>
  <sheetData>
    <row r="1" spans="1:3">
      <c r="A1" s="1" t="s">
        <v>25</v>
      </c>
      <c r="B1" s="32">
        <v>1</v>
      </c>
      <c r="C1" s="3">
        <v>4</v>
      </c>
    </row>
    <row r="2" spans="1:3">
      <c r="A2" s="1" t="s">
        <v>170</v>
      </c>
      <c r="B2" s="32">
        <v>1</v>
      </c>
    </row>
    <row r="3" spans="1:3">
      <c r="A3" s="1" t="s">
        <v>171</v>
      </c>
      <c r="B3" s="32">
        <v>0.3</v>
      </c>
    </row>
    <row r="4" spans="1:3">
      <c r="A4" s="1" t="s">
        <v>175</v>
      </c>
      <c r="B4" s="32">
        <v>0.7</v>
      </c>
    </row>
    <row r="6" spans="1:3">
      <c r="A6" s="1" t="s">
        <v>168</v>
      </c>
    </row>
    <row r="7" spans="1:3">
      <c r="A7" s="2" t="s">
        <v>172</v>
      </c>
      <c r="B7" s="32">
        <v>32000</v>
      </c>
    </row>
    <row r="8" spans="1:3">
      <c r="A8" s="2" t="s">
        <v>173</v>
      </c>
      <c r="B8" s="32">
        <v>1440</v>
      </c>
    </row>
    <row r="9" spans="1:3">
      <c r="A9" s="2" t="s">
        <v>28</v>
      </c>
      <c r="B9" s="32">
        <v>100000</v>
      </c>
      <c r="C9" s="3" t="s">
        <v>185</v>
      </c>
    </row>
    <row r="10" spans="1:3">
      <c r="A10" s="2" t="s">
        <v>174</v>
      </c>
      <c r="B10" s="32">
        <v>100</v>
      </c>
    </row>
    <row r="11" spans="1:3">
      <c r="A11" s="2" t="s">
        <v>31</v>
      </c>
      <c r="B11" s="32">
        <f>B9/B10</f>
        <v>1000</v>
      </c>
    </row>
    <row r="12" spans="1:3">
      <c r="A12" s="2" t="s">
        <v>167</v>
      </c>
      <c r="B12" s="32">
        <f>B11+B7</f>
        <v>33000</v>
      </c>
    </row>
    <row r="13" spans="1:3">
      <c r="A13" s="2" t="s">
        <v>166</v>
      </c>
      <c r="B13" s="32">
        <f>(B1/SUM(B1:C1))*B3*B2</f>
        <v>0.06</v>
      </c>
    </row>
    <row r="14" spans="1:3">
      <c r="A14" s="2" t="s">
        <v>165</v>
      </c>
      <c r="B14" s="32">
        <f>B13*B8/50</f>
        <v>1.7279999999999998</v>
      </c>
    </row>
    <row r="15" spans="1:3">
      <c r="A15" s="2" t="s">
        <v>176</v>
      </c>
      <c r="B15" s="34">
        <f>B14*B12</f>
        <v>57023.999999999993</v>
      </c>
    </row>
    <row r="17" spans="1:2">
      <c r="A17" s="1" t="s">
        <v>169</v>
      </c>
    </row>
    <row r="18" spans="1:2">
      <c r="A18" s="2" t="s">
        <v>177</v>
      </c>
      <c r="B18" s="32">
        <v>250000</v>
      </c>
    </row>
    <row r="19" spans="1:2">
      <c r="A19" s="2" t="s">
        <v>173</v>
      </c>
      <c r="B19" s="32">
        <v>1600</v>
      </c>
    </row>
    <row r="20" spans="1:2">
      <c r="A20" s="2" t="s">
        <v>44</v>
      </c>
      <c r="B20" s="32">
        <v>4</v>
      </c>
    </row>
    <row r="21" spans="1:2">
      <c r="A21" s="2" t="s">
        <v>178</v>
      </c>
      <c r="B21" s="32">
        <f>B18/B20</f>
        <v>62500</v>
      </c>
    </row>
    <row r="22" spans="1:2">
      <c r="A22" s="2" t="s">
        <v>179</v>
      </c>
      <c r="B22" s="32">
        <f>(C1/SUM(B1:C1))*B3*B2</f>
        <v>0.24</v>
      </c>
    </row>
    <row r="23" spans="1:2">
      <c r="A23" s="2" t="s">
        <v>180</v>
      </c>
      <c r="B23" s="32">
        <f>B22*B19/1000</f>
        <v>0.38400000000000001</v>
      </c>
    </row>
    <row r="24" spans="1:2">
      <c r="A24" s="2" t="s">
        <v>181</v>
      </c>
      <c r="B24" s="34">
        <f>B23*B21</f>
        <v>24000</v>
      </c>
    </row>
    <row r="26" spans="1:2">
      <c r="A26" s="1" t="s">
        <v>182</v>
      </c>
    </row>
    <row r="27" spans="1:2">
      <c r="A27" s="2" t="s">
        <v>177</v>
      </c>
      <c r="B27" s="32">
        <v>300000</v>
      </c>
    </row>
    <row r="28" spans="1:2">
      <c r="A28" s="2" t="s">
        <v>173</v>
      </c>
      <c r="B28" s="32">
        <v>1640</v>
      </c>
    </row>
    <row r="29" spans="1:2">
      <c r="A29" s="2" t="s">
        <v>44</v>
      </c>
      <c r="B29" s="32">
        <v>4</v>
      </c>
    </row>
    <row r="30" spans="1:2">
      <c r="A30" s="2" t="s">
        <v>178</v>
      </c>
      <c r="B30" s="32">
        <f>B27/B29</f>
        <v>75000</v>
      </c>
    </row>
    <row r="31" spans="1:2">
      <c r="A31" s="2" t="s">
        <v>179</v>
      </c>
      <c r="B31" s="32">
        <f>B4*B2</f>
        <v>0.7</v>
      </c>
    </row>
    <row r="32" spans="1:2">
      <c r="A32" s="2" t="s">
        <v>180</v>
      </c>
      <c r="B32" s="32">
        <f>B31*B28/1000</f>
        <v>1.1479999999999999</v>
      </c>
    </row>
    <row r="33" spans="1:4">
      <c r="A33" s="2" t="s">
        <v>181</v>
      </c>
      <c r="B33" s="34">
        <f>B32*B30</f>
        <v>86100</v>
      </c>
    </row>
    <row r="35" spans="1:4">
      <c r="A35" s="1" t="s">
        <v>4</v>
      </c>
      <c r="B35" s="12"/>
    </row>
    <row r="36" spans="1:4">
      <c r="A36" s="2" t="s">
        <v>48</v>
      </c>
      <c r="B36" s="13">
        <v>30000</v>
      </c>
    </row>
    <row r="37" spans="1:4">
      <c r="A37" s="2" t="s">
        <v>49</v>
      </c>
      <c r="B37" s="13">
        <v>10000</v>
      </c>
    </row>
    <row r="38" spans="1:4">
      <c r="A38" s="2" t="s">
        <v>51</v>
      </c>
      <c r="B38" s="13">
        <v>1</v>
      </c>
    </row>
    <row r="39" spans="1:4">
      <c r="A39" s="2" t="s">
        <v>50</v>
      </c>
      <c r="B39" s="13">
        <v>2</v>
      </c>
    </row>
    <row r="40" spans="1:4">
      <c r="A40" s="2" t="s">
        <v>183</v>
      </c>
      <c r="B40" s="13">
        <v>2</v>
      </c>
    </row>
    <row r="41" spans="1:4">
      <c r="A41" s="2" t="s">
        <v>184</v>
      </c>
      <c r="B41" s="15">
        <f>((B36*B38)+(B37*B39))/B40</f>
        <v>25000</v>
      </c>
    </row>
    <row r="42" spans="1:4">
      <c r="B42" s="33"/>
    </row>
    <row r="43" spans="1:4">
      <c r="A43" s="5" t="s">
        <v>105</v>
      </c>
      <c r="B43" s="7">
        <f>B33+B41+B24++B15</f>
        <v>192124</v>
      </c>
      <c r="C43" s="27"/>
      <c r="D43" s="27"/>
    </row>
    <row r="44" spans="1:4">
      <c r="A44" s="5" t="s">
        <v>6</v>
      </c>
      <c r="B44" s="6">
        <f>B43*1.03</f>
        <v>197887.72</v>
      </c>
      <c r="C44" s="27"/>
      <c r="D44" s="27"/>
    </row>
    <row r="45" spans="1:4">
      <c r="A45" s="5" t="s">
        <v>7</v>
      </c>
      <c r="B45" s="6">
        <f>B44*1.1</f>
        <v>217676.49200000003</v>
      </c>
      <c r="C45" s="27"/>
      <c r="D45" s="27"/>
    </row>
    <row r="46" spans="1:4">
      <c r="A46" s="5" t="s">
        <v>127</v>
      </c>
      <c r="B46" s="7">
        <f>B45*1.2</f>
        <v>261211.79040000003</v>
      </c>
      <c r="D46" s="27"/>
    </row>
    <row r="47" spans="1:4">
      <c r="C47" s="27">
        <f>B46*0.6</f>
        <v>156727.07424000002</v>
      </c>
    </row>
    <row r="48" spans="1:4">
      <c r="A48" s="1"/>
    </row>
    <row r="49" spans="1:4">
      <c r="B49" s="33"/>
    </row>
    <row r="50" spans="1:4">
      <c r="B50" s="33"/>
    </row>
    <row r="51" spans="1:4">
      <c r="B51" s="33"/>
    </row>
    <row r="55" spans="1:4">
      <c r="B55" s="34"/>
    </row>
    <row r="57" spans="1:4">
      <c r="A57" s="1"/>
    </row>
    <row r="58" spans="1:4">
      <c r="B58" s="33"/>
    </row>
    <row r="59" spans="1:4">
      <c r="B59" s="33"/>
      <c r="D59" s="27"/>
    </row>
    <row r="60" spans="1:4">
      <c r="B60" s="33"/>
    </row>
    <row r="61" spans="1:4">
      <c r="B61" s="33"/>
    </row>
    <row r="62" spans="1:4">
      <c r="B62" s="33"/>
    </row>
    <row r="63" spans="1:4">
      <c r="B63" s="34"/>
      <c r="D63" s="27"/>
    </row>
    <row r="65" spans="1:4">
      <c r="A65" s="5"/>
      <c r="B65" s="35"/>
      <c r="C65" s="29"/>
      <c r="D65" s="2"/>
    </row>
    <row r="66" spans="1:4">
      <c r="A66" s="5"/>
      <c r="B66" s="36"/>
      <c r="C66" s="30"/>
      <c r="D66" s="2"/>
    </row>
    <row r="67" spans="1:4">
      <c r="A67" s="5"/>
      <c r="B67" s="36"/>
      <c r="C67" s="30"/>
      <c r="D67" s="2"/>
    </row>
    <row r="68" spans="1:4">
      <c r="A68" s="5"/>
      <c r="B68" s="35"/>
      <c r="C68" s="31"/>
      <c r="D68" s="27"/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6EF8-9E68-4981-A7B5-4971EE6E6641}">
  <dimension ref="A1:C24"/>
  <sheetViews>
    <sheetView workbookViewId="0">
      <selection activeCell="B13" sqref="B13"/>
    </sheetView>
  </sheetViews>
  <sheetFormatPr defaultRowHeight="15"/>
  <cols>
    <col min="1" max="1" width="21.85546875" bestFit="1" customWidth="1"/>
    <col min="2" max="2" width="11" bestFit="1" customWidth="1"/>
  </cols>
  <sheetData>
    <row r="1" spans="1:3">
      <c r="A1" s="1" t="s">
        <v>14</v>
      </c>
      <c r="B1" s="3"/>
      <c r="C1" s="2"/>
    </row>
    <row r="2" spans="1:3">
      <c r="A2" s="1" t="s">
        <v>10</v>
      </c>
      <c r="B2" s="8">
        <v>0.5</v>
      </c>
      <c r="C2" s="2"/>
    </row>
    <row r="3" spans="1:3">
      <c r="A3" s="1" t="s">
        <v>15</v>
      </c>
      <c r="B3" s="8">
        <v>1</v>
      </c>
      <c r="C3" s="2"/>
    </row>
    <row r="4" spans="1:3">
      <c r="A4" s="1" t="s">
        <v>63</v>
      </c>
      <c r="B4" s="8">
        <v>3.5</v>
      </c>
      <c r="C4" s="2"/>
    </row>
    <row r="5" spans="1:3">
      <c r="A5" s="1" t="s">
        <v>62</v>
      </c>
      <c r="B5" s="8">
        <v>8</v>
      </c>
      <c r="C5" s="2"/>
    </row>
    <row r="6" spans="1:3">
      <c r="A6" s="1" t="s">
        <v>11</v>
      </c>
      <c r="B6" s="3">
        <f>B4*60*B5</f>
        <v>1680</v>
      </c>
      <c r="C6" s="2"/>
    </row>
    <row r="7" spans="1:3">
      <c r="A7" s="9" t="s">
        <v>12</v>
      </c>
      <c r="B7" s="4">
        <v>1.35</v>
      </c>
      <c r="C7" s="2"/>
    </row>
    <row r="8" spans="1:3">
      <c r="A8" s="9" t="s">
        <v>13</v>
      </c>
      <c r="B8" s="8">
        <v>0.8</v>
      </c>
      <c r="C8" s="2"/>
    </row>
    <row r="9" spans="1:3">
      <c r="A9" s="1" t="s">
        <v>69</v>
      </c>
      <c r="B9" s="4">
        <f>(B8*B2*B3*B6)/B7</f>
        <v>497.77777777777777</v>
      </c>
      <c r="C9" s="1" t="s">
        <v>16</v>
      </c>
    </row>
    <row r="10" spans="1:3">
      <c r="A10" s="1" t="s">
        <v>64</v>
      </c>
      <c r="B10" s="11">
        <v>1200000</v>
      </c>
      <c r="C10" s="2"/>
    </row>
    <row r="11" spans="1:3">
      <c r="A11" s="1" t="s">
        <v>68</v>
      </c>
      <c r="B11" s="11">
        <v>120</v>
      </c>
      <c r="C11" s="2"/>
    </row>
    <row r="12" spans="1:3">
      <c r="A12" s="1" t="s">
        <v>65</v>
      </c>
      <c r="B12" s="11">
        <v>5000</v>
      </c>
      <c r="C12" s="2"/>
    </row>
    <row r="13" spans="1:3">
      <c r="A13" s="1" t="s">
        <v>66</v>
      </c>
      <c r="B13" s="11">
        <v>150000</v>
      </c>
      <c r="C13" s="2"/>
    </row>
    <row r="14" spans="1:3">
      <c r="A14" s="1" t="s">
        <v>67</v>
      </c>
      <c r="B14" s="11">
        <v>50000</v>
      </c>
      <c r="C14" s="2"/>
    </row>
    <row r="15" spans="1:3">
      <c r="A15" s="2"/>
      <c r="B15" s="3"/>
      <c r="C15" s="2"/>
    </row>
    <row r="16" spans="1:3">
      <c r="A16" s="1" t="s">
        <v>22</v>
      </c>
      <c r="B16" s="3"/>
      <c r="C16" s="2"/>
    </row>
    <row r="17" spans="1:3">
      <c r="A17" s="1" t="s">
        <v>21</v>
      </c>
      <c r="B17" s="10" t="s">
        <v>20</v>
      </c>
      <c r="C17" s="2"/>
    </row>
    <row r="18" spans="1:3">
      <c r="A18" s="2" t="s">
        <v>19</v>
      </c>
      <c r="B18" s="3">
        <f>B10/B9</f>
        <v>2410.7142857142858</v>
      </c>
      <c r="C18" s="2"/>
    </row>
    <row r="19" spans="1:3">
      <c r="A19" s="2" t="s">
        <v>17</v>
      </c>
      <c r="B19" s="3">
        <f>(B12*B11)/B9</f>
        <v>1205.3571428571429</v>
      </c>
      <c r="C19" s="2"/>
    </row>
    <row r="20" spans="1:3">
      <c r="A20" s="2" t="s">
        <v>18</v>
      </c>
      <c r="B20" s="3">
        <f>B13/B9</f>
        <v>301.33928571428572</v>
      </c>
      <c r="C20" s="2"/>
    </row>
    <row r="21" spans="1:3">
      <c r="A21" s="2" t="s">
        <v>5</v>
      </c>
      <c r="B21" s="3">
        <f>B14/B9</f>
        <v>100.44642857142857</v>
      </c>
      <c r="C21" s="2"/>
    </row>
    <row r="22" spans="1:3">
      <c r="A22" s="2"/>
      <c r="B22" s="3"/>
      <c r="C22" s="2"/>
    </row>
    <row r="23" spans="1:3">
      <c r="A23" s="1" t="s">
        <v>23</v>
      </c>
      <c r="B23" s="3">
        <f>SUM(B18:B21)</f>
        <v>4017.8571428571427</v>
      </c>
      <c r="C23" s="2"/>
    </row>
    <row r="24" spans="1:3">
      <c r="A24" s="1" t="s">
        <v>24</v>
      </c>
      <c r="B24" s="3">
        <f>B23*1.22</f>
        <v>4901.7857142857138</v>
      </c>
      <c r="C24" s="2"/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58B0-B4AC-4150-8F21-96C66B5D5085}">
  <dimension ref="A1:D45"/>
  <sheetViews>
    <sheetView topLeftCell="A28" workbookViewId="0">
      <selection activeCell="B36" sqref="B36"/>
    </sheetView>
  </sheetViews>
  <sheetFormatPr defaultColWidth="9" defaultRowHeight="15"/>
  <cols>
    <col min="1" max="1" width="25.5703125" style="2" bestFit="1" customWidth="1"/>
    <col min="2" max="2" width="11.140625" style="12" bestFit="1" customWidth="1"/>
    <col min="3" max="4" width="9" style="3"/>
    <col min="5" max="16384" width="9" style="2"/>
  </cols>
  <sheetData>
    <row r="1" spans="1:4">
      <c r="A1" s="1" t="s">
        <v>2</v>
      </c>
    </row>
    <row r="2" spans="1:4">
      <c r="A2" s="2" t="s">
        <v>3</v>
      </c>
      <c r="B2" s="12" t="s">
        <v>9</v>
      </c>
    </row>
    <row r="3" spans="1:4">
      <c r="A3" s="2" t="s">
        <v>54</v>
      </c>
      <c r="B3" s="13">
        <v>1</v>
      </c>
    </row>
    <row r="4" spans="1:4">
      <c r="A4" s="2" t="s">
        <v>58</v>
      </c>
      <c r="B4" s="18">
        <v>0.02</v>
      </c>
      <c r="C4" s="16"/>
      <c r="D4" s="16"/>
    </row>
    <row r="5" spans="1:4">
      <c r="A5" s="2" t="s">
        <v>1</v>
      </c>
      <c r="B5" s="13">
        <v>1</v>
      </c>
      <c r="C5" s="14">
        <v>4</v>
      </c>
    </row>
    <row r="6" spans="1:4">
      <c r="A6" s="2" t="s">
        <v>55</v>
      </c>
      <c r="B6" s="12">
        <f>SUM(B5:C5)</f>
        <v>5</v>
      </c>
    </row>
    <row r="8" spans="1:4">
      <c r="A8" s="1" t="s">
        <v>36</v>
      </c>
    </row>
    <row r="9" spans="1:4">
      <c r="A9" s="2" t="s">
        <v>59</v>
      </c>
      <c r="B9" s="12">
        <f>B3*B4</f>
        <v>0.02</v>
      </c>
    </row>
    <row r="10" spans="1:4">
      <c r="A10" s="2" t="s">
        <v>60</v>
      </c>
      <c r="B10" s="12">
        <f>B9*1.34</f>
        <v>2.6800000000000001E-2</v>
      </c>
    </row>
    <row r="11" spans="1:4">
      <c r="A11" s="2" t="s">
        <v>39</v>
      </c>
      <c r="B11" s="13">
        <v>36000</v>
      </c>
    </row>
    <row r="12" spans="1:4">
      <c r="A12" s="2" t="s">
        <v>35</v>
      </c>
      <c r="B12" s="13">
        <v>1440</v>
      </c>
    </row>
    <row r="13" spans="1:4">
      <c r="A13" s="2" t="s">
        <v>74</v>
      </c>
      <c r="B13" s="13">
        <v>200000</v>
      </c>
      <c r="C13" s="3" t="s">
        <v>30</v>
      </c>
    </row>
    <row r="14" spans="1:4">
      <c r="A14" s="2" t="s">
        <v>29</v>
      </c>
      <c r="B14" s="13">
        <v>100</v>
      </c>
    </row>
    <row r="15" spans="1:4">
      <c r="A15" s="2" t="s">
        <v>31</v>
      </c>
      <c r="B15" s="12">
        <f>B13/B14</f>
        <v>2000</v>
      </c>
    </row>
    <row r="16" spans="1:4">
      <c r="A16" s="2" t="s">
        <v>32</v>
      </c>
      <c r="B16" s="12">
        <f>B11+B15</f>
        <v>38000</v>
      </c>
    </row>
    <row r="17" spans="1:3">
      <c r="A17" s="2" t="s">
        <v>33</v>
      </c>
      <c r="B17" s="12">
        <f>(B5/B6)*B10</f>
        <v>5.3600000000000002E-3</v>
      </c>
    </row>
    <row r="18" spans="1:3">
      <c r="A18" s="2" t="s">
        <v>34</v>
      </c>
      <c r="B18" s="12">
        <f>(B17*B12)/50</f>
        <v>0.15436800000000001</v>
      </c>
    </row>
    <row r="19" spans="1:3">
      <c r="A19" s="2" t="s">
        <v>287</v>
      </c>
      <c r="B19" s="12">
        <f>B18*1.2</f>
        <v>0.18524160000000001</v>
      </c>
    </row>
    <row r="20" spans="1:3">
      <c r="A20" s="2" t="s">
        <v>288</v>
      </c>
      <c r="B20" s="12">
        <f>B19*1.05</f>
        <v>0.19450368000000001</v>
      </c>
    </row>
    <row r="21" spans="1:3">
      <c r="A21" s="2" t="s">
        <v>37</v>
      </c>
      <c r="B21" s="15">
        <f>B16*B20</f>
        <v>7391.1398400000007</v>
      </c>
    </row>
    <row r="23" spans="1:3">
      <c r="A23" s="1" t="s">
        <v>38</v>
      </c>
    </row>
    <row r="24" spans="1:3">
      <c r="A24" s="2" t="s">
        <v>40</v>
      </c>
      <c r="B24" s="13">
        <v>380000</v>
      </c>
      <c r="C24" s="3" t="s">
        <v>86</v>
      </c>
    </row>
    <row r="25" spans="1:3">
      <c r="A25" s="2" t="s">
        <v>42</v>
      </c>
      <c r="B25" s="13">
        <v>1600</v>
      </c>
    </row>
    <row r="26" spans="1:3">
      <c r="A26" s="2" t="s">
        <v>44</v>
      </c>
      <c r="B26" s="13">
        <v>2</v>
      </c>
    </row>
    <row r="27" spans="1:3">
      <c r="A27" s="2" t="s">
        <v>45</v>
      </c>
      <c r="B27" s="12">
        <f>(B24/B26)</f>
        <v>190000</v>
      </c>
    </row>
    <row r="28" spans="1:3">
      <c r="A28" s="2" t="s">
        <v>33</v>
      </c>
      <c r="B28" s="12">
        <f>(C5/B6)*B10</f>
        <v>2.1440000000000001E-2</v>
      </c>
    </row>
    <row r="29" spans="1:3">
      <c r="A29" s="2" t="s">
        <v>43</v>
      </c>
      <c r="B29" s="12">
        <f>B28*B25/1000</f>
        <v>3.4304000000000001E-2</v>
      </c>
    </row>
    <row r="30" spans="1:3">
      <c r="A30" s="2" t="s">
        <v>289</v>
      </c>
      <c r="B30" s="12">
        <f>1.1*B29</f>
        <v>3.7734400000000001E-2</v>
      </c>
    </row>
    <row r="31" spans="1:3">
      <c r="A31" s="2" t="s">
        <v>46</v>
      </c>
      <c r="B31" s="15">
        <f>B30*B27</f>
        <v>7169.5360000000001</v>
      </c>
    </row>
    <row r="33" spans="1:3">
      <c r="A33" s="1" t="s">
        <v>4</v>
      </c>
    </row>
    <row r="34" spans="1:3">
      <c r="A34" s="2" t="s">
        <v>48</v>
      </c>
      <c r="B34" s="13">
        <v>10000</v>
      </c>
    </row>
    <row r="35" spans="1:3">
      <c r="A35" s="2" t="s">
        <v>49</v>
      </c>
      <c r="B35" s="13">
        <v>30000</v>
      </c>
    </row>
    <row r="36" spans="1:3">
      <c r="A36" s="2" t="s">
        <v>51</v>
      </c>
      <c r="B36" s="13">
        <v>1</v>
      </c>
    </row>
    <row r="37" spans="1:3">
      <c r="A37" s="2" t="s">
        <v>50</v>
      </c>
      <c r="B37" s="13">
        <v>1</v>
      </c>
    </row>
    <row r="38" spans="1:3">
      <c r="A38" s="2" t="s">
        <v>53</v>
      </c>
      <c r="B38" s="13">
        <v>5</v>
      </c>
    </row>
    <row r="39" spans="1:3">
      <c r="A39" s="2" t="s">
        <v>52</v>
      </c>
      <c r="B39" s="15">
        <f>((B34*B36)+(B35*B37))/B38</f>
        <v>8000</v>
      </c>
    </row>
    <row r="41" spans="1:3">
      <c r="A41" s="5" t="s">
        <v>23</v>
      </c>
      <c r="B41" s="7">
        <f>B21+B31+B39</f>
        <v>22560.67584</v>
      </c>
    </row>
    <row r="42" spans="1:3">
      <c r="A42" s="5" t="s">
        <v>6</v>
      </c>
      <c r="B42" s="6">
        <f>B41*1.03</f>
        <v>23237.4961152</v>
      </c>
      <c r="C42" s="2"/>
    </row>
    <row r="43" spans="1:3">
      <c r="A43" s="5" t="s">
        <v>7</v>
      </c>
      <c r="B43" s="6">
        <f>B42*1.1</f>
        <v>25561.245726720001</v>
      </c>
      <c r="C43" s="2"/>
    </row>
    <row r="44" spans="1:3">
      <c r="A44" s="5" t="s">
        <v>61</v>
      </c>
      <c r="B44" s="6">
        <f>1.15*B43</f>
        <v>29395.432585727998</v>
      </c>
      <c r="C44" s="2"/>
    </row>
    <row r="45" spans="1:3">
      <c r="B45" s="17"/>
    </row>
  </sheetData>
  <phoneticPr fontId="2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8B23-9812-430F-8396-6B3109BAA5D5}">
  <dimension ref="A1:B19"/>
  <sheetViews>
    <sheetView workbookViewId="0">
      <selection activeCell="D7" sqref="D7"/>
    </sheetView>
  </sheetViews>
  <sheetFormatPr defaultColWidth="9" defaultRowHeight="15"/>
  <cols>
    <col min="1" max="1" width="23" style="2" bestFit="1" customWidth="1"/>
    <col min="2" max="2" width="9.85546875" style="2" bestFit="1" customWidth="1"/>
    <col min="3" max="16384" width="9" style="2"/>
  </cols>
  <sheetData>
    <row r="1" spans="1:2">
      <c r="A1" s="1" t="s">
        <v>71</v>
      </c>
      <c r="B1" s="2">
        <v>5000</v>
      </c>
    </row>
    <row r="2" spans="1:2">
      <c r="A2" s="2" t="s">
        <v>72</v>
      </c>
      <c r="B2" s="2">
        <v>1000</v>
      </c>
    </row>
    <row r="3" spans="1:2">
      <c r="A3" s="2" t="s">
        <v>73</v>
      </c>
      <c r="B3" s="2">
        <f>B1+B2</f>
        <v>6000</v>
      </c>
    </row>
    <row r="4" spans="1:2">
      <c r="A4" s="2" t="s">
        <v>77</v>
      </c>
      <c r="B4" s="2">
        <v>6</v>
      </c>
    </row>
    <row r="5" spans="1:2">
      <c r="A5" s="2" t="s">
        <v>76</v>
      </c>
      <c r="B5" s="19">
        <f>B3/(B4)</f>
        <v>1000</v>
      </c>
    </row>
    <row r="7" spans="1:2">
      <c r="A7" s="1" t="s">
        <v>4</v>
      </c>
      <c r="B7" s="12"/>
    </row>
    <row r="8" spans="1:2">
      <c r="A8" s="2" t="s">
        <v>48</v>
      </c>
      <c r="B8" s="13">
        <v>20000</v>
      </c>
    </row>
    <row r="9" spans="1:2">
      <c r="A9" s="2" t="s">
        <v>49</v>
      </c>
      <c r="B9" s="13">
        <v>10000</v>
      </c>
    </row>
    <row r="10" spans="1:2">
      <c r="A10" s="2" t="s">
        <v>51</v>
      </c>
      <c r="B10" s="13">
        <v>1</v>
      </c>
    </row>
    <row r="11" spans="1:2">
      <c r="A11" s="2" t="s">
        <v>50</v>
      </c>
      <c r="B11" s="13">
        <v>2</v>
      </c>
    </row>
    <row r="12" spans="1:2">
      <c r="A12" s="2" t="s">
        <v>53</v>
      </c>
      <c r="B12" s="13">
        <v>5</v>
      </c>
    </row>
    <row r="13" spans="1:2">
      <c r="A13" s="2" t="s">
        <v>52</v>
      </c>
      <c r="B13" s="15">
        <f>((B8*B10)+(B9*B11))/B12</f>
        <v>8000</v>
      </c>
    </row>
    <row r="14" spans="1:2">
      <c r="B14" s="12"/>
    </row>
    <row r="15" spans="1:2">
      <c r="A15" s="5" t="s">
        <v>70</v>
      </c>
      <c r="B15" s="7">
        <f>B13+B5</f>
        <v>9000</v>
      </c>
    </row>
    <row r="16" spans="1:2">
      <c r="A16" s="5" t="s">
        <v>6</v>
      </c>
      <c r="B16" s="6">
        <f>B15*1.03</f>
        <v>9270</v>
      </c>
    </row>
    <row r="17" spans="1:2">
      <c r="A17" s="5" t="s">
        <v>7</v>
      </c>
      <c r="B17" s="6">
        <f>B16*1.1</f>
        <v>10197</v>
      </c>
    </row>
    <row r="18" spans="1:2">
      <c r="A18" s="5" t="s">
        <v>61</v>
      </c>
      <c r="B18" s="7">
        <f>B17*1.15</f>
        <v>11726.55</v>
      </c>
    </row>
    <row r="19" spans="1:2">
      <c r="A19" s="5" t="s">
        <v>8</v>
      </c>
      <c r="B19" s="6">
        <f>B18*1.18</f>
        <v>13837.328999999998</v>
      </c>
    </row>
  </sheetData>
  <phoneticPr fontId="2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53E6-0714-4A8B-AE82-3107FA176043}">
  <dimension ref="A1:E50"/>
  <sheetViews>
    <sheetView topLeftCell="A22" workbookViewId="0">
      <selection activeCell="H54" sqref="H54"/>
    </sheetView>
  </sheetViews>
  <sheetFormatPr defaultColWidth="9" defaultRowHeight="15"/>
  <cols>
    <col min="1" max="1" width="25.5703125" style="2" bestFit="1" customWidth="1"/>
    <col min="2" max="2" width="11.140625" style="12" bestFit="1" customWidth="1"/>
    <col min="3" max="3" width="11.42578125" style="3" customWidth="1"/>
    <col min="4" max="4" width="9" style="3"/>
    <col min="5" max="5" width="11.42578125" style="2" bestFit="1" customWidth="1"/>
    <col min="6" max="16384" width="9" style="2"/>
  </cols>
  <sheetData>
    <row r="1" spans="1:5">
      <c r="A1" s="1" t="s">
        <v>0</v>
      </c>
    </row>
    <row r="2" spans="1:5">
      <c r="A2" s="2" t="s">
        <v>3</v>
      </c>
      <c r="B2" s="12" t="s">
        <v>9</v>
      </c>
    </row>
    <row r="3" spans="1:5">
      <c r="A3" s="2" t="s">
        <v>25</v>
      </c>
      <c r="B3" s="13">
        <v>1</v>
      </c>
      <c r="C3" s="14">
        <v>1</v>
      </c>
      <c r="D3" s="14">
        <v>6</v>
      </c>
    </row>
    <row r="4" spans="1:5">
      <c r="A4" s="2" t="s">
        <v>26</v>
      </c>
      <c r="B4" s="13">
        <v>1</v>
      </c>
    </row>
    <row r="5" spans="1:5">
      <c r="A5" s="2" t="s">
        <v>27</v>
      </c>
      <c r="B5" s="15">
        <f>B4*1.34</f>
        <v>1.34</v>
      </c>
    </row>
    <row r="7" spans="1:5">
      <c r="A7" s="1" t="s">
        <v>36</v>
      </c>
    </row>
    <row r="8" spans="1:5">
      <c r="A8" s="2" t="s">
        <v>39</v>
      </c>
      <c r="B8" s="13">
        <v>36000</v>
      </c>
    </row>
    <row r="9" spans="1:5">
      <c r="A9" s="2" t="s">
        <v>35</v>
      </c>
      <c r="B9" s="13">
        <v>1600</v>
      </c>
    </row>
    <row r="10" spans="1:5">
      <c r="A10" s="2" t="s">
        <v>28</v>
      </c>
      <c r="B10" s="13">
        <v>0</v>
      </c>
    </row>
    <row r="11" spans="1:5">
      <c r="A11" s="2" t="s">
        <v>29</v>
      </c>
      <c r="B11" s="13">
        <v>30</v>
      </c>
    </row>
    <row r="12" spans="1:5">
      <c r="A12" s="2" t="s">
        <v>31</v>
      </c>
      <c r="B12" s="12">
        <f>B10/B11</f>
        <v>0</v>
      </c>
    </row>
    <row r="13" spans="1:5">
      <c r="A13" s="2" t="s">
        <v>32</v>
      </c>
      <c r="B13" s="12">
        <f>B8+B12</f>
        <v>36000</v>
      </c>
    </row>
    <row r="14" spans="1:5">
      <c r="A14" s="2" t="s">
        <v>106</v>
      </c>
      <c r="B14" s="12">
        <f>(B3/SUM(B3:D3))*B5</f>
        <v>0.16750000000000001</v>
      </c>
    </row>
    <row r="15" spans="1:5">
      <c r="A15" s="2" t="s">
        <v>34</v>
      </c>
      <c r="B15" s="12">
        <f>($B$14*$B$9/50)</f>
        <v>5.36</v>
      </c>
    </row>
    <row r="16" spans="1:5">
      <c r="A16" s="2" t="s">
        <v>37</v>
      </c>
      <c r="B16" s="15">
        <f>$B$15*$B$8</f>
        <v>192960</v>
      </c>
      <c r="E16" s="20">
        <f>B16+B25+B34</f>
        <v>498480.16750000004</v>
      </c>
    </row>
    <row r="18" spans="1:3">
      <c r="A18" s="1" t="s">
        <v>38</v>
      </c>
    </row>
    <row r="19" spans="1:3">
      <c r="A19" s="2" t="s">
        <v>75</v>
      </c>
      <c r="B19" s="13">
        <v>380000</v>
      </c>
      <c r="C19" s="3" t="s">
        <v>85</v>
      </c>
    </row>
    <row r="20" spans="1:3">
      <c r="A20" s="2" t="s">
        <v>42</v>
      </c>
      <c r="B20" s="13">
        <v>1600</v>
      </c>
    </row>
    <row r="21" spans="1:3">
      <c r="A21" s="2" t="s">
        <v>44</v>
      </c>
      <c r="B21" s="13">
        <v>2</v>
      </c>
    </row>
    <row r="22" spans="1:3">
      <c r="A22" s="2" t="s">
        <v>45</v>
      </c>
      <c r="B22" s="12">
        <f>(B19/B21)</f>
        <v>190000</v>
      </c>
    </row>
    <row r="23" spans="1:3">
      <c r="A23" s="2" t="s">
        <v>33</v>
      </c>
      <c r="B23" s="12">
        <f>(D3/SUM(B3:D3))*B5</f>
        <v>1.0050000000000001</v>
      </c>
    </row>
    <row r="24" spans="1:3">
      <c r="A24" s="2" t="s">
        <v>43</v>
      </c>
      <c r="B24" s="12">
        <f>B23*B20/1000</f>
        <v>1.6080000000000003</v>
      </c>
    </row>
    <row r="25" spans="1:3">
      <c r="A25" s="2" t="s">
        <v>46</v>
      </c>
      <c r="B25" s="15">
        <f>B24*B22</f>
        <v>305520.00000000006</v>
      </c>
    </row>
    <row r="27" spans="1:3">
      <c r="A27" s="1" t="s">
        <v>107</v>
      </c>
    </row>
    <row r="28" spans="1:3">
      <c r="A28" s="2" t="s">
        <v>108</v>
      </c>
      <c r="B28" s="13">
        <v>27000</v>
      </c>
    </row>
    <row r="29" spans="1:3">
      <c r="A29" s="2" t="s">
        <v>35</v>
      </c>
      <c r="B29" s="13">
        <v>2300</v>
      </c>
    </row>
    <row r="30" spans="1:3">
      <c r="A30" s="2" t="s">
        <v>28</v>
      </c>
      <c r="B30" s="13">
        <v>100000</v>
      </c>
    </row>
    <row r="31" spans="1:3">
      <c r="A31" s="2" t="s">
        <v>29</v>
      </c>
      <c r="B31" s="13">
        <v>30</v>
      </c>
    </row>
    <row r="32" spans="1:3">
      <c r="A32" s="2" t="s">
        <v>31</v>
      </c>
      <c r="B32" s="12">
        <f>B30/B31</f>
        <v>3333.3333333333335</v>
      </c>
    </row>
    <row r="33" spans="1:5">
      <c r="A33" s="2" t="s">
        <v>32</v>
      </c>
      <c r="B33" s="12">
        <f>B28+B32</f>
        <v>30333.333333333332</v>
      </c>
    </row>
    <row r="34" spans="1:5">
      <c r="A34" s="2" t="s">
        <v>33</v>
      </c>
      <c r="B34" s="12">
        <f>(B3/SUM(B3:D3))*B5</f>
        <v>0.16750000000000001</v>
      </c>
    </row>
    <row r="35" spans="1:5">
      <c r="A35" s="2" t="s">
        <v>34</v>
      </c>
      <c r="B35" s="12">
        <f>($B$14*$B$9/50)</f>
        <v>5.36</v>
      </c>
    </row>
    <row r="36" spans="1:5">
      <c r="A36" s="2" t="s">
        <v>37</v>
      </c>
      <c r="B36" s="15">
        <f>$B$35*$B$28</f>
        <v>144720</v>
      </c>
      <c r="E36" s="20">
        <f>B36+B43+B52</f>
        <v>144721</v>
      </c>
    </row>
    <row r="39" spans="1:5">
      <c r="A39" s="1" t="s">
        <v>4</v>
      </c>
    </row>
    <row r="40" spans="1:5">
      <c r="A40" s="2" t="s">
        <v>48</v>
      </c>
      <c r="B40" s="13">
        <v>30000</v>
      </c>
    </row>
    <row r="41" spans="1:5">
      <c r="A41" s="2" t="s">
        <v>49</v>
      </c>
      <c r="B41" s="13">
        <v>10000</v>
      </c>
    </row>
    <row r="42" spans="1:5">
      <c r="A42" s="2" t="s">
        <v>51</v>
      </c>
      <c r="B42" s="13">
        <v>1</v>
      </c>
    </row>
    <row r="43" spans="1:5">
      <c r="A43" s="2" t="s">
        <v>50</v>
      </c>
      <c r="B43" s="13">
        <v>1</v>
      </c>
    </row>
    <row r="44" spans="1:5">
      <c r="A44" s="2" t="s">
        <v>53</v>
      </c>
      <c r="B44" s="13">
        <v>5</v>
      </c>
    </row>
    <row r="45" spans="1:5">
      <c r="A45" s="2" t="s">
        <v>52</v>
      </c>
      <c r="B45" s="15">
        <f>((B40*B42)+(B41*B43))/B44</f>
        <v>8000</v>
      </c>
      <c r="D45" s="27">
        <f>B45*0.02*0.2</f>
        <v>32</v>
      </c>
    </row>
    <row r="47" spans="1:5">
      <c r="A47" s="5" t="s">
        <v>23</v>
      </c>
      <c r="B47" s="7">
        <f>B16+B25+B36+B45</f>
        <v>651200</v>
      </c>
      <c r="C47" s="3">
        <f>B47-8000</f>
        <v>643200</v>
      </c>
      <c r="D47" s="2"/>
    </row>
    <row r="48" spans="1:5">
      <c r="A48" s="5" t="s">
        <v>6</v>
      </c>
      <c r="B48" s="6">
        <f>B47*1.03</f>
        <v>670736</v>
      </c>
      <c r="C48" s="3">
        <f t="shared" ref="C48:C50" si="0">B48-8000</f>
        <v>662736</v>
      </c>
      <c r="D48" s="2"/>
    </row>
    <row r="49" spans="1:4">
      <c r="A49" s="5" t="s">
        <v>7</v>
      </c>
      <c r="B49" s="6">
        <f>B48*1.1</f>
        <v>737809.60000000009</v>
      </c>
      <c r="C49" s="3">
        <f t="shared" si="0"/>
        <v>729809.60000000009</v>
      </c>
      <c r="D49" s="2"/>
    </row>
    <row r="50" spans="1:4">
      <c r="A50" s="5" t="s">
        <v>61</v>
      </c>
      <c r="B50" s="7">
        <f>B49*1.15</f>
        <v>848481.04</v>
      </c>
      <c r="C50" s="3">
        <f t="shared" si="0"/>
        <v>840481.04</v>
      </c>
      <c r="D50" s="27">
        <f>C50*0.02*0.2</f>
        <v>3361.9241600000005</v>
      </c>
    </row>
  </sheetData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0948-36AA-404F-9B95-22D9EE60F64C}">
  <dimension ref="A1:C24"/>
  <sheetViews>
    <sheetView topLeftCell="A11" workbookViewId="0">
      <selection activeCell="B19" sqref="B19"/>
    </sheetView>
  </sheetViews>
  <sheetFormatPr defaultColWidth="9" defaultRowHeight="15"/>
  <cols>
    <col min="1" max="1" width="16.42578125" style="2" bestFit="1" customWidth="1"/>
    <col min="2" max="16384" width="9" style="2"/>
  </cols>
  <sheetData>
    <row r="1" spans="1:3">
      <c r="A1" s="2" t="s">
        <v>77</v>
      </c>
      <c r="B1" s="2">
        <v>40</v>
      </c>
      <c r="C1" s="2">
        <v>100</v>
      </c>
    </row>
    <row r="2" spans="1:3">
      <c r="A2" s="2" t="s">
        <v>132</v>
      </c>
      <c r="B2" s="2" t="s">
        <v>133</v>
      </c>
    </row>
    <row r="3" spans="1:3">
      <c r="A3" s="2" t="s">
        <v>134</v>
      </c>
      <c r="B3" s="2">
        <v>3.6</v>
      </c>
    </row>
    <row r="5" spans="1:3">
      <c r="A5" s="2" t="s">
        <v>135</v>
      </c>
      <c r="B5" s="19">
        <v>15000</v>
      </c>
    </row>
    <row r="6" spans="1:3">
      <c r="A6" s="2" t="s">
        <v>136</v>
      </c>
      <c r="B6" s="19">
        <v>100000</v>
      </c>
    </row>
    <row r="7" spans="1:3">
      <c r="A7" s="2" t="s">
        <v>137</v>
      </c>
      <c r="B7" s="19">
        <v>200</v>
      </c>
    </row>
    <row r="8" spans="1:3">
      <c r="A8" s="2" t="s">
        <v>138</v>
      </c>
      <c r="B8" s="19">
        <f>B6/B7</f>
        <v>500</v>
      </c>
    </row>
    <row r="9" spans="1:3">
      <c r="A9" s="2" t="s">
        <v>126</v>
      </c>
      <c r="B9" s="19">
        <v>1000</v>
      </c>
    </row>
    <row r="10" spans="1:3">
      <c r="A10" s="2" t="s">
        <v>139</v>
      </c>
      <c r="B10" s="2">
        <f>(B5/B3)+B8+B9</f>
        <v>5666.666666666667</v>
      </c>
    </row>
    <row r="13" spans="1:3">
      <c r="A13" s="1" t="s">
        <v>4</v>
      </c>
      <c r="B13" s="12"/>
    </row>
    <row r="14" spans="1:3">
      <c r="A14" s="2" t="s">
        <v>48</v>
      </c>
      <c r="B14" s="13">
        <v>30000</v>
      </c>
    </row>
    <row r="15" spans="1:3">
      <c r="A15" s="2" t="s">
        <v>49</v>
      </c>
      <c r="B15" s="13">
        <v>15000</v>
      </c>
    </row>
    <row r="16" spans="1:3">
      <c r="A16" s="2" t="s">
        <v>51</v>
      </c>
      <c r="B16" s="13">
        <v>1</v>
      </c>
    </row>
    <row r="17" spans="1:2">
      <c r="A17" s="2" t="s">
        <v>50</v>
      </c>
      <c r="B17" s="13">
        <v>2</v>
      </c>
    </row>
    <row r="18" spans="1:2">
      <c r="A18" s="2" t="s">
        <v>140</v>
      </c>
      <c r="B18" s="13">
        <v>5</v>
      </c>
    </row>
    <row r="19" spans="1:2">
      <c r="A19" s="2" t="s">
        <v>141</v>
      </c>
      <c r="B19" s="15">
        <f>((B14*B16)+(B15*B17))/B18</f>
        <v>12000</v>
      </c>
    </row>
    <row r="20" spans="1:2">
      <c r="B20" s="12"/>
    </row>
    <row r="21" spans="1:2">
      <c r="A21" s="5" t="s">
        <v>142</v>
      </c>
      <c r="B21" s="7">
        <f>B10+B19</f>
        <v>17666.666666666668</v>
      </c>
    </row>
    <row r="22" spans="1:2">
      <c r="A22" s="5" t="s">
        <v>6</v>
      </c>
      <c r="B22" s="6">
        <f>B21*1.03</f>
        <v>18196.666666666668</v>
      </c>
    </row>
    <row r="23" spans="1:2">
      <c r="A23" s="5" t="s">
        <v>7</v>
      </c>
      <c r="B23" s="6">
        <f>B22*1.1</f>
        <v>20016.333333333336</v>
      </c>
    </row>
    <row r="24" spans="1:2">
      <c r="A24" s="5" t="s">
        <v>61</v>
      </c>
      <c r="B24" s="6">
        <f>1.15*B23</f>
        <v>23018.783333333333</v>
      </c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3CBB-6440-4C51-861B-D23EE097791F}">
  <dimension ref="A1:C18"/>
  <sheetViews>
    <sheetView topLeftCell="A4" workbookViewId="0">
      <selection activeCell="D13" sqref="D13"/>
    </sheetView>
  </sheetViews>
  <sheetFormatPr defaultColWidth="9" defaultRowHeight="15"/>
  <cols>
    <col min="1" max="1" width="23" style="2" bestFit="1" customWidth="1"/>
    <col min="2" max="16384" width="9" style="2"/>
  </cols>
  <sheetData>
    <row r="1" spans="1:3">
      <c r="A1" s="2" t="s">
        <v>156</v>
      </c>
      <c r="B1" s="2">
        <v>26</v>
      </c>
    </row>
    <row r="2" spans="1:3">
      <c r="A2" s="2" t="s">
        <v>77</v>
      </c>
      <c r="B2" s="2">
        <v>5</v>
      </c>
      <c r="C2" s="2">
        <v>0.7</v>
      </c>
    </row>
    <row r="3" spans="1:3">
      <c r="A3" s="2" t="s">
        <v>157</v>
      </c>
      <c r="B3" s="2">
        <v>126250</v>
      </c>
    </row>
    <row r="4" spans="1:3">
      <c r="A4" s="2" t="s">
        <v>129</v>
      </c>
      <c r="B4" s="2">
        <v>3000</v>
      </c>
    </row>
    <row r="5" spans="1:3">
      <c r="A5" s="2" t="s">
        <v>158</v>
      </c>
      <c r="B5" s="19">
        <f>B3/(B2*C2)+B4</f>
        <v>39071.428571428572</v>
      </c>
    </row>
    <row r="7" spans="1:3">
      <c r="A7" s="1" t="s">
        <v>4</v>
      </c>
      <c r="B7" s="12"/>
    </row>
    <row r="8" spans="1:3">
      <c r="A8" s="2" t="s">
        <v>48</v>
      </c>
      <c r="B8" s="13">
        <v>30000</v>
      </c>
    </row>
    <row r="9" spans="1:3">
      <c r="A9" s="2" t="s">
        <v>49</v>
      </c>
      <c r="B9" s="13">
        <v>20000</v>
      </c>
    </row>
    <row r="10" spans="1:3">
      <c r="A10" s="2" t="s">
        <v>51</v>
      </c>
      <c r="B10" s="13">
        <v>1</v>
      </c>
    </row>
    <row r="11" spans="1:3">
      <c r="A11" s="2" t="s">
        <v>50</v>
      </c>
      <c r="B11" s="13">
        <v>4</v>
      </c>
    </row>
    <row r="12" spans="1:3">
      <c r="A12" s="2" t="s">
        <v>117</v>
      </c>
      <c r="B12" s="13">
        <v>10</v>
      </c>
    </row>
    <row r="13" spans="1:3">
      <c r="A13" s="2" t="s">
        <v>118</v>
      </c>
      <c r="B13" s="15">
        <f>((B8*B10)+(B9*B11))/B12</f>
        <v>11000</v>
      </c>
    </row>
    <row r="14" spans="1:3">
      <c r="B14" s="12"/>
    </row>
    <row r="15" spans="1:3">
      <c r="A15" s="5" t="s">
        <v>142</v>
      </c>
      <c r="B15" s="7">
        <f>B5+B13</f>
        <v>50071.428571428572</v>
      </c>
    </row>
    <row r="16" spans="1:3">
      <c r="A16" s="5" t="s">
        <v>162</v>
      </c>
      <c r="B16" s="6">
        <f>B15*1.03</f>
        <v>51573.571428571428</v>
      </c>
    </row>
    <row r="17" spans="1:2">
      <c r="A17" s="5" t="s">
        <v>7</v>
      </c>
      <c r="B17" s="6">
        <f>B16*1.1</f>
        <v>56730.928571428572</v>
      </c>
    </row>
    <row r="18" spans="1:2">
      <c r="A18" s="5" t="s">
        <v>127</v>
      </c>
      <c r="B18" s="6">
        <f>1.2*B17</f>
        <v>68077.114285714284</v>
      </c>
    </row>
  </sheetData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726C-4D24-46DB-8051-0E4F6A8AA5E0}">
  <dimension ref="A1:D19"/>
  <sheetViews>
    <sheetView topLeftCell="A4" workbookViewId="0">
      <selection activeCell="B7" sqref="B7"/>
    </sheetView>
  </sheetViews>
  <sheetFormatPr defaultColWidth="9" defaultRowHeight="15"/>
  <cols>
    <col min="1" max="1" width="25.7109375" style="2" bestFit="1" customWidth="1"/>
    <col min="2" max="16384" width="9" style="2"/>
  </cols>
  <sheetData>
    <row r="1" spans="1:4">
      <c r="A1" s="2" t="s">
        <v>159</v>
      </c>
      <c r="B1" s="2">
        <v>90</v>
      </c>
      <c r="C1" s="2">
        <v>20</v>
      </c>
      <c r="D1" s="2">
        <v>900</v>
      </c>
    </row>
    <row r="2" spans="1:4">
      <c r="A2" s="2" t="s">
        <v>81</v>
      </c>
      <c r="B2" s="19">
        <v>67000</v>
      </c>
    </row>
    <row r="3" spans="1:4">
      <c r="A3" s="2" t="s">
        <v>28</v>
      </c>
      <c r="B3" s="19">
        <v>200000</v>
      </c>
    </row>
    <row r="4" spans="1:4">
      <c r="A4" s="2" t="s">
        <v>126</v>
      </c>
      <c r="B4" s="19">
        <v>50000</v>
      </c>
    </row>
    <row r="5" spans="1:4">
      <c r="A5" s="2" t="s">
        <v>160</v>
      </c>
      <c r="B5" s="19">
        <v>200</v>
      </c>
    </row>
    <row r="6" spans="1:4">
      <c r="A6" s="2" t="s">
        <v>129</v>
      </c>
      <c r="B6" s="2">
        <f>(B3+B4)/B5</f>
        <v>1250</v>
      </c>
    </row>
    <row r="7" spans="1:4">
      <c r="A7" s="2" t="s">
        <v>81</v>
      </c>
      <c r="B7" s="19">
        <f>B2+B6</f>
        <v>68250</v>
      </c>
    </row>
    <row r="9" spans="1:4">
      <c r="A9" s="1" t="s">
        <v>4</v>
      </c>
      <c r="B9" s="12"/>
    </row>
    <row r="10" spans="1:4">
      <c r="A10" s="2" t="s">
        <v>48</v>
      </c>
      <c r="B10" s="13">
        <v>30000</v>
      </c>
    </row>
    <row r="11" spans="1:4">
      <c r="A11" s="2" t="s">
        <v>49</v>
      </c>
      <c r="B11" s="13">
        <v>20000</v>
      </c>
    </row>
    <row r="12" spans="1:4">
      <c r="A12" s="2" t="s">
        <v>51</v>
      </c>
      <c r="B12" s="13">
        <v>1</v>
      </c>
    </row>
    <row r="13" spans="1:4">
      <c r="A13" s="2" t="s">
        <v>50</v>
      </c>
      <c r="B13" s="13">
        <v>2</v>
      </c>
    </row>
    <row r="14" spans="1:4">
      <c r="A14" s="2" t="s">
        <v>117</v>
      </c>
      <c r="B14" s="13">
        <v>5</v>
      </c>
    </row>
    <row r="15" spans="1:4">
      <c r="A15" s="2" t="s">
        <v>118</v>
      </c>
      <c r="B15" s="15">
        <f>((B10*B12)+(B11*B13))/B14</f>
        <v>14000</v>
      </c>
    </row>
    <row r="16" spans="1:4">
      <c r="B16" s="12"/>
    </row>
    <row r="17" spans="1:2">
      <c r="A17" s="5" t="s">
        <v>142</v>
      </c>
      <c r="B17" s="7">
        <f>B7+B15</f>
        <v>82250</v>
      </c>
    </row>
    <row r="18" spans="1:2">
      <c r="A18" s="5" t="s">
        <v>6</v>
      </c>
      <c r="B18" s="6">
        <f>B17*1.03</f>
        <v>84717.5</v>
      </c>
    </row>
    <row r="19" spans="1:2">
      <c r="A19" s="5" t="s">
        <v>7</v>
      </c>
      <c r="B19" s="6">
        <f>B18*1.1</f>
        <v>93189.250000000015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FA8F5E-801E-4DC5-A054-648F75722CC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Concrete materials</vt:lpstr>
      <vt:lpstr>Insurance</vt:lpstr>
      <vt:lpstr>Blockwork</vt:lpstr>
      <vt:lpstr>Built up labour rate</vt:lpstr>
      <vt:lpstr>Concrete rate</vt:lpstr>
      <vt:lpstr>Paint</vt:lpstr>
      <vt:lpstr>Anti-termite</vt:lpstr>
      <vt:lpstr>Formwork timber</vt:lpstr>
      <vt:lpstr>Pigmented lime plaster</vt:lpstr>
      <vt:lpstr>Natural stone (Pozzolana)</vt:lpstr>
      <vt:lpstr>Hardcore</vt:lpstr>
      <vt:lpstr>Formwork sheets</vt:lpstr>
      <vt:lpstr>BRC MESH</vt:lpstr>
      <vt:lpstr>Reinforcements</vt:lpstr>
      <vt:lpstr>Fascia board</vt:lpstr>
      <vt:lpstr>Mild steel plates</vt:lpstr>
      <vt:lpstr>Steel Hollow sections</vt:lpstr>
      <vt:lpstr>Stone plinth wall</vt:lpstr>
      <vt:lpstr>Excavator rates</vt:lpstr>
      <vt:lpstr>Plastering</vt:lpstr>
      <vt:lpstr>General rates</vt:lpstr>
      <vt:lpstr>Sheet1</vt:lpstr>
      <vt:lpstr>Rafters</vt:lpstr>
      <vt:lpstr>Iron sheets</vt:lpstr>
      <vt:lpstr>Finishes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2026-01-05T08:41:45Z</dcterms:created>
  <dcterms:modified xsi:type="dcterms:W3CDTF">2026-06-24T13:07:46Z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{EDA9B793-D37C-4B09-8BA7-5178FD628D77}</vt:lpwstr>
  </property>
</Properties>
</file>